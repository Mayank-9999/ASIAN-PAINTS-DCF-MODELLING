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ank\Downloads\Financial Modelling\"/>
    </mc:Choice>
  </mc:AlternateContent>
  <xr:revisionPtr revIDLastSave="0" documentId="13_ncr:1_{4E99D31D-F470-456D-BD24-FF7F46A836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s Valuation" sheetId="20" r:id="rId1"/>
    <sheet name="Football Field" sheetId="22" r:id="rId2"/>
    <sheet name="DCF" sheetId="19" r:id="rId3"/>
    <sheet name="CSS" sheetId="16" r:id="rId4"/>
    <sheet name="Intrinsic Growth" sheetId="17" r:id="rId5"/>
    <sheet name="Raw FS" sheetId="18" r:id="rId6"/>
    <sheet name="Data" sheetId="21" r:id="rId7"/>
    <sheet name="WACC" sheetId="12" r:id="rId8"/>
    <sheet name="WACC Data-&gt;" sheetId="13" r:id="rId9"/>
    <sheet name="Beta" sheetId="14" r:id="rId10"/>
    <sheet name="Market Returns" sheetId="15" r:id="rId11"/>
    <sheet name="FINANCIALS -&gt;" sheetId="8" r:id="rId12"/>
    <sheet name="FS" sheetId="9" r:id="rId13"/>
    <sheet name="Ratio Analysis" sheetId="10" r:id="rId14"/>
    <sheet name="Forecasting" sheetId="11" r:id="rId15"/>
    <sheet name="DATA -&gt;" sheetId="7" r:id="rId16"/>
    <sheet name="Profit &amp; Loss" sheetId="1" r:id="rId17"/>
    <sheet name="Data Sheet" sheetId="6" r:id="rId18"/>
    <sheet name="Cash Flow" sheetId="4" r:id="rId19"/>
    <sheet name="Balance Sheet" sheetId="2" r:id="rId20"/>
    <sheet name="Quarters" sheetId="3" r:id="rId21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3" i="17" l="1"/>
  <c r="G60" i="17"/>
  <c r="G59" i="17"/>
  <c r="D58" i="17"/>
  <c r="D56" i="17"/>
  <c r="D55" i="17"/>
  <c r="G52" i="17"/>
  <c r="G51" i="17"/>
  <c r="D50" i="17"/>
  <c r="D49" i="17"/>
  <c r="C37" i="17"/>
  <c r="C34" i="17"/>
  <c r="C32" i="17"/>
  <c r="C30" i="17"/>
  <c r="C19" i="17"/>
  <c r="C17" i="17"/>
  <c r="C11" i="17"/>
  <c r="D31" i="17"/>
  <c r="E31" i="17"/>
  <c r="F31" i="17"/>
  <c r="G31" i="17"/>
  <c r="C31" i="17"/>
  <c r="B8" i="17"/>
  <c r="B7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D22" i="17"/>
  <c r="E22" i="17"/>
  <c r="F22" i="17"/>
  <c r="G22" i="17"/>
  <c r="C22" i="17"/>
  <c r="C15" i="17"/>
  <c r="D15" i="17"/>
  <c r="E15" i="17"/>
  <c r="F15" i="17"/>
  <c r="G15" i="17"/>
  <c r="C16" i="17"/>
  <c r="D16" i="17"/>
  <c r="E16" i="17"/>
  <c r="F16" i="17"/>
  <c r="G16" i="17"/>
  <c r="D14" i="17"/>
  <c r="E14" i="17"/>
  <c r="F14" i="17"/>
  <c r="G14" i="17"/>
  <c r="C14" i="17"/>
  <c r="C9" i="17"/>
  <c r="D9" i="17"/>
  <c r="E9" i="17"/>
  <c r="F9" i="17"/>
  <c r="G9" i="17"/>
  <c r="C10" i="17"/>
  <c r="D10" i="17"/>
  <c r="E10" i="17"/>
  <c r="F10" i="17"/>
  <c r="G10" i="17"/>
  <c r="D8" i="17"/>
  <c r="E8" i="17"/>
  <c r="F8" i="17"/>
  <c r="G8" i="17"/>
  <c r="C8" i="17"/>
  <c r="D7" i="17"/>
  <c r="E7" i="17"/>
  <c r="F7" i="17"/>
  <c r="G7" i="17"/>
  <c r="C7" i="17"/>
  <c r="M25" i="22"/>
  <c r="B30" i="19"/>
  <c r="G24" i="12"/>
  <c r="L13" i="12"/>
  <c r="L14" i="12"/>
  <c r="L15" i="12"/>
  <c r="L16" i="12"/>
  <c r="L17" i="12"/>
  <c r="L12" i="12"/>
  <c r="K12" i="12"/>
  <c r="J12" i="12"/>
  <c r="M12" i="12" s="1"/>
  <c r="M25" i="12"/>
  <c r="M27" i="12" s="1"/>
  <c r="M26" i="12"/>
  <c r="E33" i="12"/>
  <c r="E32" i="12"/>
  <c r="AF15" i="14"/>
  <c r="K6" i="20"/>
  <c r="O26" i="20" s="1"/>
  <c r="M7" i="20"/>
  <c r="M8" i="20"/>
  <c r="M9" i="20"/>
  <c r="M10" i="20"/>
  <c r="M11" i="20"/>
  <c r="M12" i="20"/>
  <c r="M13" i="20"/>
  <c r="M14" i="20"/>
  <c r="M15" i="20"/>
  <c r="M6" i="20"/>
  <c r="K4" i="21"/>
  <c r="L7" i="20" s="1"/>
  <c r="K5" i="21"/>
  <c r="L8" i="20" s="1"/>
  <c r="K6" i="21"/>
  <c r="L9" i="20" s="1"/>
  <c r="K7" i="21"/>
  <c r="L10" i="20" s="1"/>
  <c r="K8" i="21"/>
  <c r="L11" i="20" s="1"/>
  <c r="K9" i="21"/>
  <c r="L12" i="20" s="1"/>
  <c r="K10" i="21"/>
  <c r="L13" i="20" s="1"/>
  <c r="K11" i="21"/>
  <c r="L14" i="20" s="1"/>
  <c r="K12" i="21"/>
  <c r="L15" i="20" s="1"/>
  <c r="K3" i="21"/>
  <c r="L6" i="20" s="1"/>
  <c r="P26" i="20" s="1"/>
  <c r="P28" i="20" s="1"/>
  <c r="H7" i="20"/>
  <c r="H8" i="20"/>
  <c r="H9" i="20"/>
  <c r="H10" i="20"/>
  <c r="H11" i="20"/>
  <c r="H12" i="20"/>
  <c r="H13" i="20"/>
  <c r="H14" i="20"/>
  <c r="H15" i="20"/>
  <c r="H6" i="20"/>
  <c r="K7" i="20"/>
  <c r="K8" i="20"/>
  <c r="K9" i="20"/>
  <c r="K10" i="20"/>
  <c r="K11" i="20"/>
  <c r="K12" i="20"/>
  <c r="K13" i="20"/>
  <c r="K14" i="20"/>
  <c r="K15" i="20"/>
  <c r="G7" i="20"/>
  <c r="G8" i="20"/>
  <c r="G9" i="20"/>
  <c r="G10" i="20"/>
  <c r="G11" i="20"/>
  <c r="G12" i="20"/>
  <c r="G13" i="20"/>
  <c r="G14" i="20"/>
  <c r="G15" i="20"/>
  <c r="G6" i="20"/>
  <c r="P27" i="20" s="1"/>
  <c r="E6" i="20"/>
  <c r="Q29" i="20" s="1"/>
  <c r="E7" i="20"/>
  <c r="E8" i="20"/>
  <c r="E9" i="20"/>
  <c r="E10" i="20"/>
  <c r="E11" i="20"/>
  <c r="E12" i="20"/>
  <c r="E13" i="20"/>
  <c r="E14" i="20"/>
  <c r="E15" i="20"/>
  <c r="D7" i="20"/>
  <c r="D8" i="20"/>
  <c r="D9" i="20"/>
  <c r="D10" i="20"/>
  <c r="D11" i="20"/>
  <c r="D12" i="20"/>
  <c r="D13" i="20"/>
  <c r="D14" i="20"/>
  <c r="D15" i="20"/>
  <c r="D6" i="20"/>
  <c r="B7" i="20"/>
  <c r="B8" i="20"/>
  <c r="B9" i="20"/>
  <c r="B10" i="20"/>
  <c r="B11" i="20"/>
  <c r="B12" i="20"/>
  <c r="B13" i="20"/>
  <c r="B14" i="20"/>
  <c r="B15" i="20"/>
  <c r="B6" i="20"/>
  <c r="B24" i="20" s="1"/>
  <c r="E41" i="19"/>
  <c r="E40" i="19"/>
  <c r="L17" i="19"/>
  <c r="M17" i="19" s="1"/>
  <c r="N17" i="19" s="1"/>
  <c r="O17" i="19" s="1"/>
  <c r="H9" i="19"/>
  <c r="I9" i="19" s="1"/>
  <c r="J9" i="19" s="1"/>
  <c r="K9" i="19" s="1"/>
  <c r="L9" i="19" s="1"/>
  <c r="M9" i="19" s="1"/>
  <c r="N9" i="19" s="1"/>
  <c r="O9" i="19" s="1"/>
  <c r="B56" i="17"/>
  <c r="B55" i="17"/>
  <c r="D54" i="17"/>
  <c r="E54" i="17"/>
  <c r="F54" i="17"/>
  <c r="G54" i="17"/>
  <c r="D46" i="17"/>
  <c r="E46" i="17" s="1"/>
  <c r="D42" i="17"/>
  <c r="E42" i="17"/>
  <c r="F42" i="17"/>
  <c r="G42" i="17"/>
  <c r="C42" i="17"/>
  <c r="D40" i="17"/>
  <c r="E40" i="17"/>
  <c r="F40" i="17"/>
  <c r="G40" i="17"/>
  <c r="C40" i="17"/>
  <c r="B30" i="17"/>
  <c r="B31" i="17"/>
  <c r="B23" i="17"/>
  <c r="B24" i="17"/>
  <c r="B25" i="17"/>
  <c r="B26" i="17"/>
  <c r="B27" i="17"/>
  <c r="B28" i="17"/>
  <c r="B29" i="17"/>
  <c r="B22" i="17"/>
  <c r="B15" i="17"/>
  <c r="B16" i="17"/>
  <c r="B14" i="17"/>
  <c r="B10" i="17"/>
  <c r="B9" i="17"/>
  <c r="D5" i="17"/>
  <c r="E5" i="17"/>
  <c r="F5" i="17"/>
  <c r="G5" i="17"/>
  <c r="C5" i="17"/>
  <c r="D29" i="18"/>
  <c r="E29" i="18"/>
  <c r="F29" i="18"/>
  <c r="G29" i="18"/>
  <c r="H29" i="18"/>
  <c r="I29" i="18"/>
  <c r="J29" i="18"/>
  <c r="K29" i="18"/>
  <c r="L29" i="18"/>
  <c r="M29" i="18"/>
  <c r="N29" i="18"/>
  <c r="C29" i="18"/>
  <c r="B43" i="16"/>
  <c r="B39" i="16"/>
  <c r="B40" i="16"/>
  <c r="B41" i="16"/>
  <c r="B38" i="16"/>
  <c r="B33" i="16"/>
  <c r="B34" i="16"/>
  <c r="B35" i="16"/>
  <c r="B36" i="16"/>
  <c r="B32" i="16"/>
  <c r="B27" i="16"/>
  <c r="B28" i="16"/>
  <c r="B29" i="16"/>
  <c r="B30" i="16"/>
  <c r="B26" i="16"/>
  <c r="B14" i="16"/>
  <c r="B15" i="16"/>
  <c r="B16" i="16"/>
  <c r="B17" i="16"/>
  <c r="B18" i="16"/>
  <c r="B19" i="16"/>
  <c r="B10" i="16"/>
  <c r="B11" i="16"/>
  <c r="B12" i="16"/>
  <c r="B13" i="16"/>
  <c r="B9" i="16"/>
  <c r="G8" i="15"/>
  <c r="G6" i="15"/>
  <c r="AF23" i="14"/>
  <c r="AD9" i="14"/>
  <c r="AD10" i="14"/>
  <c r="AD11" i="14"/>
  <c r="AD12" i="14"/>
  <c r="AD13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X55" i="14"/>
  <c r="X56" i="14"/>
  <c r="X57" i="14"/>
  <c r="X58" i="14"/>
  <c r="X59" i="14"/>
  <c r="X60" i="14"/>
  <c r="X61" i="14"/>
  <c r="X62" i="14"/>
  <c r="X63" i="14"/>
  <c r="X64" i="14"/>
  <c r="X65" i="14"/>
  <c r="X66" i="14"/>
  <c r="X67" i="14"/>
  <c r="X68" i="14"/>
  <c r="X69" i="14"/>
  <c r="X70" i="14"/>
  <c r="X71" i="14"/>
  <c r="X72" i="14"/>
  <c r="X73" i="14"/>
  <c r="X74" i="14"/>
  <c r="X75" i="14"/>
  <c r="X76" i="14"/>
  <c r="X77" i="14"/>
  <c r="X78" i="14"/>
  <c r="X79" i="14"/>
  <c r="X80" i="14"/>
  <c r="X81" i="14"/>
  <c r="X82" i="14"/>
  <c r="X83" i="14"/>
  <c r="X84" i="14"/>
  <c r="X85" i="14"/>
  <c r="X86" i="14"/>
  <c r="X87" i="14"/>
  <c r="X88" i="14"/>
  <c r="X89" i="14"/>
  <c r="X90" i="14"/>
  <c r="X91" i="14"/>
  <c r="X92" i="14"/>
  <c r="X93" i="14"/>
  <c r="X94" i="14"/>
  <c r="X95" i="14"/>
  <c r="X96" i="14"/>
  <c r="X97" i="14"/>
  <c r="X98" i="14"/>
  <c r="X99" i="14"/>
  <c r="X100" i="14"/>
  <c r="X101" i="14"/>
  <c r="X102" i="14"/>
  <c r="X103" i="14"/>
  <c r="X104" i="14"/>
  <c r="X105" i="14"/>
  <c r="X106" i="14"/>
  <c r="X107" i="14"/>
  <c r="X108" i="14"/>
  <c r="X109" i="14"/>
  <c r="X110" i="14"/>
  <c r="X111" i="14"/>
  <c r="X9" i="14"/>
  <c r="V9" i="14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V84" i="14" s="1"/>
  <c r="V85" i="14" s="1"/>
  <c r="V86" i="14" s="1"/>
  <c r="V87" i="14" s="1"/>
  <c r="V88" i="14" s="1"/>
  <c r="V89" i="14" s="1"/>
  <c r="V90" i="14" s="1"/>
  <c r="V91" i="14" s="1"/>
  <c r="V92" i="14" s="1"/>
  <c r="V93" i="14" s="1"/>
  <c r="V94" i="14" s="1"/>
  <c r="V95" i="14" s="1"/>
  <c r="V96" i="14" s="1"/>
  <c r="V97" i="14" s="1"/>
  <c r="V98" i="14" s="1"/>
  <c r="V99" i="14" s="1"/>
  <c r="V100" i="14" s="1"/>
  <c r="V101" i="14" s="1"/>
  <c r="V102" i="14" s="1"/>
  <c r="V103" i="14" s="1"/>
  <c r="V104" i="14" s="1"/>
  <c r="V105" i="14" s="1"/>
  <c r="V106" i="14" s="1"/>
  <c r="V107" i="14" s="1"/>
  <c r="V108" i="14" s="1"/>
  <c r="V109" i="14" s="1"/>
  <c r="V110" i="14" s="1"/>
  <c r="V111" i="14" s="1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9" i="14"/>
  <c r="R9" i="14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R26" i="14" s="1"/>
  <c r="R27" i="14" s="1"/>
  <c r="R28" i="14" s="1"/>
  <c r="R29" i="14" s="1"/>
  <c r="R30" i="14" s="1"/>
  <c r="R31" i="14" s="1"/>
  <c r="R32" i="14" s="1"/>
  <c r="R33" i="14" s="1"/>
  <c r="R34" i="14" s="1"/>
  <c r="R35" i="14" s="1"/>
  <c r="R36" i="14" s="1"/>
  <c r="R37" i="14" s="1"/>
  <c r="R38" i="14" s="1"/>
  <c r="R39" i="14" s="1"/>
  <c r="R40" i="14" s="1"/>
  <c r="R41" i="14" s="1"/>
  <c r="R42" i="14" s="1"/>
  <c r="R43" i="14" s="1"/>
  <c r="R44" i="14" s="1"/>
  <c r="R45" i="14" s="1"/>
  <c r="R46" i="14" s="1"/>
  <c r="R47" i="14" s="1"/>
  <c r="R48" i="14" s="1"/>
  <c r="R49" i="14" s="1"/>
  <c r="R50" i="14" s="1"/>
  <c r="R51" i="14" s="1"/>
  <c r="R52" i="14" s="1"/>
  <c r="R53" i="14" s="1"/>
  <c r="R54" i="14" s="1"/>
  <c r="R55" i="14" s="1"/>
  <c r="R56" i="14" s="1"/>
  <c r="R57" i="14" s="1"/>
  <c r="R58" i="14" s="1"/>
  <c r="R59" i="14" s="1"/>
  <c r="R60" i="14" s="1"/>
  <c r="R61" i="14" s="1"/>
  <c r="R62" i="14" s="1"/>
  <c r="R63" i="14" s="1"/>
  <c r="R64" i="14" s="1"/>
  <c r="R65" i="14" s="1"/>
  <c r="R66" i="14" s="1"/>
  <c r="R67" i="14" s="1"/>
  <c r="R68" i="14" s="1"/>
  <c r="R69" i="14" s="1"/>
  <c r="R70" i="14" s="1"/>
  <c r="R71" i="14" s="1"/>
  <c r="R72" i="14" s="1"/>
  <c r="R73" i="14" s="1"/>
  <c r="R74" i="14" s="1"/>
  <c r="R75" i="14" s="1"/>
  <c r="R76" i="14" s="1"/>
  <c r="R77" i="14" s="1"/>
  <c r="R78" i="14" s="1"/>
  <c r="R79" i="14" s="1"/>
  <c r="R80" i="14" s="1"/>
  <c r="R81" i="14" s="1"/>
  <c r="R82" i="14" s="1"/>
  <c r="R83" i="14" s="1"/>
  <c r="R84" i="14" s="1"/>
  <c r="R85" i="14" s="1"/>
  <c r="R86" i="14" s="1"/>
  <c r="R87" i="14" s="1"/>
  <c r="R88" i="14" s="1"/>
  <c r="R89" i="14" s="1"/>
  <c r="R90" i="14" s="1"/>
  <c r="R91" i="14" s="1"/>
  <c r="R92" i="14" s="1"/>
  <c r="R93" i="14" s="1"/>
  <c r="R94" i="14" s="1"/>
  <c r="R95" i="14" s="1"/>
  <c r="R96" i="14" s="1"/>
  <c r="R97" i="14" s="1"/>
  <c r="R98" i="14" s="1"/>
  <c r="R99" i="14" s="1"/>
  <c r="R100" i="14" s="1"/>
  <c r="R101" i="14" s="1"/>
  <c r="R102" i="14" s="1"/>
  <c r="R103" i="14" s="1"/>
  <c r="R104" i="14" s="1"/>
  <c r="R105" i="14" s="1"/>
  <c r="R106" i="14" s="1"/>
  <c r="R107" i="14" s="1"/>
  <c r="R108" i="14" s="1"/>
  <c r="R109" i="14" s="1"/>
  <c r="R110" i="14" s="1"/>
  <c r="R111" i="14" s="1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9" i="14"/>
  <c r="N9" i="14"/>
  <c r="N10" i="14" s="1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N47" i="14" s="1"/>
  <c r="N48" i="14" s="1"/>
  <c r="N49" i="14" s="1"/>
  <c r="N50" i="14" s="1"/>
  <c r="N51" i="14" s="1"/>
  <c r="N52" i="14" s="1"/>
  <c r="N53" i="14" s="1"/>
  <c r="N54" i="14" s="1"/>
  <c r="N55" i="14" s="1"/>
  <c r="N56" i="14" s="1"/>
  <c r="N57" i="14" s="1"/>
  <c r="N58" i="14" s="1"/>
  <c r="N59" i="14" s="1"/>
  <c r="N60" i="14" s="1"/>
  <c r="N61" i="14" s="1"/>
  <c r="N62" i="14" s="1"/>
  <c r="N63" i="14" s="1"/>
  <c r="N64" i="14" s="1"/>
  <c r="N65" i="14" s="1"/>
  <c r="N66" i="14" s="1"/>
  <c r="N67" i="14" s="1"/>
  <c r="N68" i="14" s="1"/>
  <c r="N69" i="14" s="1"/>
  <c r="N70" i="14" s="1"/>
  <c r="N71" i="14" s="1"/>
  <c r="N72" i="14" s="1"/>
  <c r="N73" i="14" s="1"/>
  <c r="N74" i="14" s="1"/>
  <c r="N75" i="14" s="1"/>
  <c r="N76" i="14" s="1"/>
  <c r="N77" i="14" s="1"/>
  <c r="N78" i="14" s="1"/>
  <c r="N79" i="14" s="1"/>
  <c r="N80" i="14" s="1"/>
  <c r="N81" i="14" s="1"/>
  <c r="N82" i="14" s="1"/>
  <c r="N83" i="14" s="1"/>
  <c r="N84" i="14" s="1"/>
  <c r="N85" i="14" s="1"/>
  <c r="N86" i="14" s="1"/>
  <c r="N87" i="14" s="1"/>
  <c r="N88" i="14" s="1"/>
  <c r="N89" i="14" s="1"/>
  <c r="N90" i="14" s="1"/>
  <c r="N91" i="14" s="1"/>
  <c r="N92" i="14" s="1"/>
  <c r="N93" i="14" s="1"/>
  <c r="N94" i="14" s="1"/>
  <c r="N95" i="14" s="1"/>
  <c r="N96" i="14" s="1"/>
  <c r="N97" i="14" s="1"/>
  <c r="N98" i="14" s="1"/>
  <c r="N99" i="14" s="1"/>
  <c r="N100" i="14" s="1"/>
  <c r="N101" i="14" s="1"/>
  <c r="N102" i="14" s="1"/>
  <c r="N103" i="14" s="1"/>
  <c r="N104" i="14" s="1"/>
  <c r="N105" i="14" s="1"/>
  <c r="N106" i="14" s="1"/>
  <c r="N107" i="14" s="1"/>
  <c r="N108" i="14" s="1"/>
  <c r="N109" i="14" s="1"/>
  <c r="N110" i="14" s="1"/>
  <c r="N111" i="14" s="1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J9" i="14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14" s="1"/>
  <c r="J85" i="14" s="1"/>
  <c r="J86" i="14" s="1"/>
  <c r="J87" i="14" s="1"/>
  <c r="J88" i="14" s="1"/>
  <c r="J89" i="14" s="1"/>
  <c r="J90" i="14" s="1"/>
  <c r="J91" i="14" s="1"/>
  <c r="J92" i="14" s="1"/>
  <c r="J93" i="14" s="1"/>
  <c r="J94" i="14" s="1"/>
  <c r="J95" i="14" s="1"/>
  <c r="J96" i="14" s="1"/>
  <c r="J97" i="14" s="1"/>
  <c r="J98" i="14" s="1"/>
  <c r="J99" i="14" s="1"/>
  <c r="J100" i="14" s="1"/>
  <c r="J101" i="14" s="1"/>
  <c r="J102" i="14" s="1"/>
  <c r="J103" i="14" s="1"/>
  <c r="J104" i="14" s="1"/>
  <c r="J105" i="14" s="1"/>
  <c r="J106" i="14" s="1"/>
  <c r="J107" i="14" s="1"/>
  <c r="J108" i="14" s="1"/>
  <c r="J109" i="14" s="1"/>
  <c r="J110" i="14" s="1"/>
  <c r="J111" i="14" s="1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9" i="14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0" i="14"/>
  <c r="AB71" i="14"/>
  <c r="AB72" i="14"/>
  <c r="AB73" i="14"/>
  <c r="AB74" i="14"/>
  <c r="AB75" i="14"/>
  <c r="AB76" i="14"/>
  <c r="AB77" i="14"/>
  <c r="AB78" i="14"/>
  <c r="AB79" i="14"/>
  <c r="AB80" i="14"/>
  <c r="AB81" i="14"/>
  <c r="AB82" i="14"/>
  <c r="AB83" i="14"/>
  <c r="AB84" i="14"/>
  <c r="AB85" i="14"/>
  <c r="AB86" i="14"/>
  <c r="AB87" i="14"/>
  <c r="AB88" i="14"/>
  <c r="AB89" i="14"/>
  <c r="AB90" i="14"/>
  <c r="AB91" i="14"/>
  <c r="AB92" i="14"/>
  <c r="AB93" i="14"/>
  <c r="AB94" i="14"/>
  <c r="AB95" i="14"/>
  <c r="AB96" i="14"/>
  <c r="AB97" i="14"/>
  <c r="AB98" i="14"/>
  <c r="AB99" i="14"/>
  <c r="AB100" i="14"/>
  <c r="AB101" i="14"/>
  <c r="AB102" i="14"/>
  <c r="AB103" i="14"/>
  <c r="AB104" i="14"/>
  <c r="AB105" i="14"/>
  <c r="AB106" i="14"/>
  <c r="AB107" i="14"/>
  <c r="AB108" i="14"/>
  <c r="AB109" i="14"/>
  <c r="AB110" i="14"/>
  <c r="AB111" i="14"/>
  <c r="AB9" i="14"/>
  <c r="Z9" i="14"/>
  <c r="Z10" i="14" s="1"/>
  <c r="Z11" i="14" s="1"/>
  <c r="Z12" i="14" s="1"/>
  <c r="Z13" i="14" s="1"/>
  <c r="Z14" i="14" s="1"/>
  <c r="Z15" i="14" s="1"/>
  <c r="Z16" i="14" s="1"/>
  <c r="Z17" i="14" s="1"/>
  <c r="Z18" i="14" s="1"/>
  <c r="Z19" i="14" s="1"/>
  <c r="Z20" i="14" s="1"/>
  <c r="Z21" i="14" s="1"/>
  <c r="Z22" i="14" s="1"/>
  <c r="Z23" i="14" s="1"/>
  <c r="Z24" i="14" s="1"/>
  <c r="Z25" i="14" s="1"/>
  <c r="Z26" i="14" s="1"/>
  <c r="Z27" i="14" s="1"/>
  <c r="Z28" i="14" s="1"/>
  <c r="Z29" i="14" s="1"/>
  <c r="Z30" i="14" s="1"/>
  <c r="Z31" i="14" s="1"/>
  <c r="Z32" i="14" s="1"/>
  <c r="Z33" i="14" s="1"/>
  <c r="Z34" i="14" s="1"/>
  <c r="Z35" i="14" s="1"/>
  <c r="Z36" i="14" s="1"/>
  <c r="Z37" i="14" s="1"/>
  <c r="Z38" i="14" s="1"/>
  <c r="Z39" i="14" s="1"/>
  <c r="Z40" i="14" s="1"/>
  <c r="Z41" i="14" s="1"/>
  <c r="Z42" i="14" s="1"/>
  <c r="Z43" i="14" s="1"/>
  <c r="Z44" i="14" s="1"/>
  <c r="Z45" i="14" s="1"/>
  <c r="Z46" i="14" s="1"/>
  <c r="Z47" i="14" s="1"/>
  <c r="Z48" i="14" s="1"/>
  <c r="Z49" i="14" s="1"/>
  <c r="Z50" i="14" s="1"/>
  <c r="Z51" i="14" s="1"/>
  <c r="Z52" i="14" s="1"/>
  <c r="Z53" i="14" s="1"/>
  <c r="Z54" i="14" s="1"/>
  <c r="Z55" i="14" s="1"/>
  <c r="Z56" i="14" s="1"/>
  <c r="Z57" i="14" s="1"/>
  <c r="Z58" i="14" s="1"/>
  <c r="Z59" i="14" s="1"/>
  <c r="Z60" i="14" s="1"/>
  <c r="Z61" i="14" s="1"/>
  <c r="Z62" i="14" s="1"/>
  <c r="Z63" i="14" s="1"/>
  <c r="Z64" i="14" s="1"/>
  <c r="Z65" i="14" s="1"/>
  <c r="Z66" i="14" s="1"/>
  <c r="Z67" i="14" s="1"/>
  <c r="Z68" i="14" s="1"/>
  <c r="Z69" i="14" s="1"/>
  <c r="Z70" i="14" s="1"/>
  <c r="Z71" i="14" s="1"/>
  <c r="Z72" i="14" s="1"/>
  <c r="Z73" i="14" s="1"/>
  <c r="Z74" i="14" s="1"/>
  <c r="Z75" i="14" s="1"/>
  <c r="Z76" i="14" s="1"/>
  <c r="Z77" i="14" s="1"/>
  <c r="Z78" i="14" s="1"/>
  <c r="Z79" i="14" s="1"/>
  <c r="Z80" i="14" s="1"/>
  <c r="Z81" i="14" s="1"/>
  <c r="Z82" i="14" s="1"/>
  <c r="Z83" i="14" s="1"/>
  <c r="Z84" i="14" s="1"/>
  <c r="Z85" i="14" s="1"/>
  <c r="Z86" i="14" s="1"/>
  <c r="Z87" i="14" s="1"/>
  <c r="Z88" i="14" s="1"/>
  <c r="Z89" i="14" s="1"/>
  <c r="Z90" i="14" s="1"/>
  <c r="Z91" i="14" s="1"/>
  <c r="Z92" i="14" s="1"/>
  <c r="Z93" i="14" s="1"/>
  <c r="Z94" i="14" s="1"/>
  <c r="Z95" i="14" s="1"/>
  <c r="Z96" i="14" s="1"/>
  <c r="Z97" i="14" s="1"/>
  <c r="Z98" i="14" s="1"/>
  <c r="Z99" i="14" s="1"/>
  <c r="Z100" i="14" s="1"/>
  <c r="Z101" i="14" s="1"/>
  <c r="Z102" i="14" s="1"/>
  <c r="Z103" i="14" s="1"/>
  <c r="Z104" i="14" s="1"/>
  <c r="Z105" i="14" s="1"/>
  <c r="Z106" i="14" s="1"/>
  <c r="Z107" i="14" s="1"/>
  <c r="Z108" i="14" s="1"/>
  <c r="Z109" i="14" s="1"/>
  <c r="Z110" i="14" s="1"/>
  <c r="Z111" i="14" s="1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9" i="14"/>
  <c r="B9" i="14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I20" i="12"/>
  <c r="I19" i="12"/>
  <c r="M33" i="12"/>
  <c r="G26" i="12"/>
  <c r="M38" i="12" s="1"/>
  <c r="K14" i="12"/>
  <c r="K15" i="12"/>
  <c r="K16" i="12"/>
  <c r="K17" i="12"/>
  <c r="K13" i="12"/>
  <c r="J14" i="12"/>
  <c r="J15" i="12"/>
  <c r="J16" i="12"/>
  <c r="J17" i="12"/>
  <c r="J13" i="12"/>
  <c r="B2" i="11"/>
  <c r="E34" i="12" l="1"/>
  <c r="F33" i="12" s="1"/>
  <c r="AF8" i="14"/>
  <c r="AF19" i="14" s="1"/>
  <c r="AF25" i="14" s="1"/>
  <c r="M41" i="12" s="1"/>
  <c r="AF13" i="14"/>
  <c r="AF9" i="14"/>
  <c r="M14" i="12" s="1"/>
  <c r="AF10" i="14"/>
  <c r="M15" i="12" s="1"/>
  <c r="AF11" i="14"/>
  <c r="M16" i="12" s="1"/>
  <c r="AF12" i="14"/>
  <c r="M17" i="12" s="1"/>
  <c r="O9" i="20"/>
  <c r="O29" i="20"/>
  <c r="P29" i="20"/>
  <c r="P30" i="20" s="1"/>
  <c r="P32" i="20" s="1"/>
  <c r="O27" i="20"/>
  <c r="O28" i="20" s="1"/>
  <c r="O30" i="20" s="1"/>
  <c r="O32" i="20" s="1"/>
  <c r="Q27" i="20"/>
  <c r="P14" i="20"/>
  <c r="O12" i="20"/>
  <c r="P13" i="20"/>
  <c r="P9" i="20"/>
  <c r="O11" i="20"/>
  <c r="O8" i="20"/>
  <c r="P10" i="20"/>
  <c r="P12" i="20"/>
  <c r="F8" i="20"/>
  <c r="Q8" i="20" s="1"/>
  <c r="O10" i="20"/>
  <c r="O14" i="20"/>
  <c r="P6" i="20"/>
  <c r="P8" i="20"/>
  <c r="P15" i="20"/>
  <c r="P7" i="20"/>
  <c r="P11" i="20"/>
  <c r="O15" i="20"/>
  <c r="O7" i="20"/>
  <c r="O13" i="20"/>
  <c r="O6" i="20"/>
  <c r="F10" i="20"/>
  <c r="Q10" i="20" s="1"/>
  <c r="F6" i="20"/>
  <c r="Q6" i="20" s="1"/>
  <c r="F9" i="20"/>
  <c r="Q9" i="20" s="1"/>
  <c r="F14" i="20"/>
  <c r="Q14" i="20" s="1"/>
  <c r="F11" i="20"/>
  <c r="Q11" i="20" s="1"/>
  <c r="F15" i="20"/>
  <c r="Q15" i="20" s="1"/>
  <c r="F7" i="20"/>
  <c r="Q7" i="20" s="1"/>
  <c r="F13" i="20"/>
  <c r="Q13" i="20" s="1"/>
  <c r="F12" i="20"/>
  <c r="Q12" i="20" s="1"/>
  <c r="D30" i="17"/>
  <c r="D32" i="17" s="1"/>
  <c r="F46" i="17"/>
  <c r="G46" i="17" s="1"/>
  <c r="E30" i="17"/>
  <c r="E32" i="17" s="1"/>
  <c r="G30" i="17"/>
  <c r="G32" i="17" s="1"/>
  <c r="F30" i="17"/>
  <c r="F32" i="17" s="1"/>
  <c r="D17" i="17"/>
  <c r="D11" i="17"/>
  <c r="G11" i="17"/>
  <c r="F11" i="17"/>
  <c r="G17" i="17"/>
  <c r="F17" i="17"/>
  <c r="E11" i="17"/>
  <c r="E17" i="17"/>
  <c r="K20" i="12"/>
  <c r="K19" i="12"/>
  <c r="G32" i="12" s="1"/>
  <c r="M39" i="12" s="1"/>
  <c r="J20" i="12"/>
  <c r="J19" i="12"/>
  <c r="B6" i="11"/>
  <c r="B7" i="11" s="1"/>
  <c r="B8" i="11" s="1"/>
  <c r="B9" i="11" s="1"/>
  <c r="B10" i="11" s="1"/>
  <c r="B11" i="11" s="1"/>
  <c r="B12" i="11" s="1"/>
  <c r="B13" i="11" s="1"/>
  <c r="B14" i="11" s="1"/>
  <c r="B5" i="11"/>
  <c r="E3" i="11"/>
  <c r="D3" i="11"/>
  <c r="C3" i="11"/>
  <c r="G28" i="10"/>
  <c r="G34" i="10" s="1"/>
  <c r="J24" i="9"/>
  <c r="E18" i="9"/>
  <c r="F18" i="9"/>
  <c r="G18" i="9"/>
  <c r="H18" i="9"/>
  <c r="I18" i="9"/>
  <c r="J18" i="9"/>
  <c r="K18" i="9"/>
  <c r="L18" i="9"/>
  <c r="M18" i="9"/>
  <c r="D18" i="9"/>
  <c r="D12" i="9"/>
  <c r="M19" i="6"/>
  <c r="M18" i="6"/>
  <c r="M20" i="6" s="1"/>
  <c r="E12" i="9"/>
  <c r="D10" i="16" s="1"/>
  <c r="F12" i="9"/>
  <c r="G12" i="9"/>
  <c r="H12" i="9"/>
  <c r="I12" i="9"/>
  <c r="J12" i="9"/>
  <c r="K12" i="9"/>
  <c r="L12" i="9"/>
  <c r="M12" i="9"/>
  <c r="L10" i="16" s="1"/>
  <c r="E3" i="10"/>
  <c r="F3" i="10"/>
  <c r="G3" i="10"/>
  <c r="H3" i="10"/>
  <c r="I3" i="10"/>
  <c r="J3" i="10"/>
  <c r="K3" i="10"/>
  <c r="L3" i="10"/>
  <c r="M3" i="10"/>
  <c r="D3" i="10"/>
  <c r="B2" i="10"/>
  <c r="B76" i="9"/>
  <c r="B53" i="9"/>
  <c r="B7" i="9"/>
  <c r="E102" i="9"/>
  <c r="F102" i="9"/>
  <c r="G102" i="9"/>
  <c r="H102" i="9"/>
  <c r="I102" i="9"/>
  <c r="J102" i="9"/>
  <c r="K102" i="9"/>
  <c r="L102" i="9"/>
  <c r="M102" i="9"/>
  <c r="E103" i="9"/>
  <c r="F103" i="9"/>
  <c r="G103" i="9"/>
  <c r="H103" i="9"/>
  <c r="I103" i="9"/>
  <c r="J103" i="9"/>
  <c r="K103" i="9"/>
  <c r="L103" i="9"/>
  <c r="M103" i="9"/>
  <c r="E104" i="9"/>
  <c r="F104" i="9"/>
  <c r="G104" i="9"/>
  <c r="H104" i="9"/>
  <c r="I104" i="9"/>
  <c r="J104" i="9"/>
  <c r="K104" i="9"/>
  <c r="L104" i="9"/>
  <c r="M104" i="9"/>
  <c r="E105" i="9"/>
  <c r="F105" i="9"/>
  <c r="G105" i="9"/>
  <c r="H105" i="9"/>
  <c r="I105" i="9"/>
  <c r="J105" i="9"/>
  <c r="K105" i="9"/>
  <c r="L105" i="9"/>
  <c r="M105" i="9"/>
  <c r="E106" i="9"/>
  <c r="F106" i="9"/>
  <c r="G106" i="9"/>
  <c r="H106" i="9"/>
  <c r="I106" i="9"/>
  <c r="J106" i="9"/>
  <c r="K106" i="9"/>
  <c r="L106" i="9"/>
  <c r="M106" i="9"/>
  <c r="E107" i="9"/>
  <c r="F107" i="9"/>
  <c r="G107" i="9"/>
  <c r="H107" i="9"/>
  <c r="I107" i="9"/>
  <c r="J107" i="9"/>
  <c r="K107" i="9"/>
  <c r="L107" i="9"/>
  <c r="M107" i="9"/>
  <c r="E108" i="9"/>
  <c r="F108" i="9"/>
  <c r="G108" i="9"/>
  <c r="H108" i="9"/>
  <c r="I108" i="9"/>
  <c r="J108" i="9"/>
  <c r="K108" i="9"/>
  <c r="L108" i="9"/>
  <c r="M108" i="9"/>
  <c r="D103" i="9"/>
  <c r="D104" i="9"/>
  <c r="D105" i="9"/>
  <c r="D106" i="9"/>
  <c r="D107" i="9"/>
  <c r="D108" i="9"/>
  <c r="D102" i="9"/>
  <c r="D90" i="9"/>
  <c r="E90" i="9"/>
  <c r="F90" i="9"/>
  <c r="G90" i="9"/>
  <c r="H90" i="9"/>
  <c r="I90" i="9"/>
  <c r="J90" i="9"/>
  <c r="K90" i="9"/>
  <c r="L90" i="9"/>
  <c r="M90" i="9"/>
  <c r="D91" i="9"/>
  <c r="E91" i="9"/>
  <c r="F91" i="9"/>
  <c r="G91" i="9"/>
  <c r="H91" i="9"/>
  <c r="I91" i="9"/>
  <c r="J91" i="9"/>
  <c r="K91" i="9"/>
  <c r="L91" i="9"/>
  <c r="M91" i="9"/>
  <c r="D92" i="9"/>
  <c r="E92" i="9"/>
  <c r="F92" i="9"/>
  <c r="G92" i="9"/>
  <c r="H92" i="9"/>
  <c r="I92" i="9"/>
  <c r="J92" i="9"/>
  <c r="K92" i="9"/>
  <c r="L92" i="9"/>
  <c r="M92" i="9"/>
  <c r="D93" i="9"/>
  <c r="E93" i="9"/>
  <c r="F93" i="9"/>
  <c r="G93" i="9"/>
  <c r="H93" i="9"/>
  <c r="I93" i="9"/>
  <c r="J93" i="9"/>
  <c r="K93" i="9"/>
  <c r="L93" i="9"/>
  <c r="M93" i="9"/>
  <c r="D94" i="9"/>
  <c r="E94" i="9"/>
  <c r="F94" i="9"/>
  <c r="G94" i="9"/>
  <c r="H94" i="9"/>
  <c r="I94" i="9"/>
  <c r="J94" i="9"/>
  <c r="K94" i="9"/>
  <c r="L94" i="9"/>
  <c r="M94" i="9"/>
  <c r="D95" i="9"/>
  <c r="E95" i="9"/>
  <c r="F95" i="9"/>
  <c r="G95" i="9"/>
  <c r="H95" i="9"/>
  <c r="I95" i="9"/>
  <c r="J95" i="9"/>
  <c r="K95" i="9"/>
  <c r="L95" i="9"/>
  <c r="M95" i="9"/>
  <c r="D96" i="9"/>
  <c r="E96" i="9"/>
  <c r="F96" i="9"/>
  <c r="G96" i="9"/>
  <c r="H96" i="9"/>
  <c r="I96" i="9"/>
  <c r="J96" i="9"/>
  <c r="K96" i="9"/>
  <c r="L96" i="9"/>
  <c r="M96" i="9"/>
  <c r="D97" i="9"/>
  <c r="E97" i="9"/>
  <c r="F97" i="9"/>
  <c r="G97" i="9"/>
  <c r="H97" i="9"/>
  <c r="I97" i="9"/>
  <c r="J97" i="9"/>
  <c r="K97" i="9"/>
  <c r="L97" i="9"/>
  <c r="M97" i="9"/>
  <c r="D98" i="9"/>
  <c r="E98" i="9"/>
  <c r="F98" i="9"/>
  <c r="G98" i="9"/>
  <c r="H98" i="9"/>
  <c r="I98" i="9"/>
  <c r="J98" i="9"/>
  <c r="K98" i="9"/>
  <c r="L98" i="9"/>
  <c r="M98" i="9"/>
  <c r="E89" i="9"/>
  <c r="F89" i="9"/>
  <c r="G89" i="9"/>
  <c r="H89" i="9"/>
  <c r="I89" i="9"/>
  <c r="J89" i="9"/>
  <c r="K89" i="9"/>
  <c r="L89" i="9"/>
  <c r="M89" i="9"/>
  <c r="D89" i="9"/>
  <c r="D80" i="9"/>
  <c r="E80" i="9"/>
  <c r="F80" i="9"/>
  <c r="G80" i="9"/>
  <c r="H80" i="9"/>
  <c r="I80" i="9"/>
  <c r="J80" i="9"/>
  <c r="K80" i="9"/>
  <c r="L80" i="9"/>
  <c r="M80" i="9"/>
  <c r="D81" i="9"/>
  <c r="E81" i="9"/>
  <c r="F81" i="9"/>
  <c r="G81" i="9"/>
  <c r="H81" i="9"/>
  <c r="I81" i="9"/>
  <c r="J81" i="9"/>
  <c r="K81" i="9"/>
  <c r="L81" i="9"/>
  <c r="M81" i="9"/>
  <c r="D82" i="9"/>
  <c r="E82" i="9"/>
  <c r="F82" i="9"/>
  <c r="G82" i="9"/>
  <c r="H82" i="9"/>
  <c r="I82" i="9"/>
  <c r="J82" i="9"/>
  <c r="K82" i="9"/>
  <c r="L82" i="9"/>
  <c r="M82" i="9"/>
  <c r="D83" i="9"/>
  <c r="E83" i="9"/>
  <c r="F83" i="9"/>
  <c r="G83" i="9"/>
  <c r="H83" i="9"/>
  <c r="I83" i="9"/>
  <c r="J83" i="9"/>
  <c r="K83" i="9"/>
  <c r="L83" i="9"/>
  <c r="M83" i="9"/>
  <c r="D84" i="9"/>
  <c r="E84" i="9"/>
  <c r="F84" i="9"/>
  <c r="G84" i="9"/>
  <c r="H84" i="9"/>
  <c r="I84" i="9"/>
  <c r="J84" i="9"/>
  <c r="K84" i="9"/>
  <c r="L84" i="9"/>
  <c r="M84" i="9"/>
  <c r="D85" i="9"/>
  <c r="E85" i="9"/>
  <c r="F85" i="9"/>
  <c r="G85" i="9"/>
  <c r="H85" i="9"/>
  <c r="I85" i="9"/>
  <c r="J85" i="9"/>
  <c r="K85" i="9"/>
  <c r="L85" i="9"/>
  <c r="M85" i="9"/>
  <c r="E79" i="9"/>
  <c r="F79" i="9"/>
  <c r="G79" i="9"/>
  <c r="H79" i="9"/>
  <c r="I79" i="9"/>
  <c r="J79" i="9"/>
  <c r="K79" i="9"/>
  <c r="L79" i="9"/>
  <c r="M79" i="9"/>
  <c r="D79" i="9"/>
  <c r="F64" i="9"/>
  <c r="D64" i="9"/>
  <c r="L67" i="9"/>
  <c r="I68" i="9"/>
  <c r="K68" i="9"/>
  <c r="H69" i="9"/>
  <c r="J69" i="9"/>
  <c r="F61" i="9"/>
  <c r="E62" i="9"/>
  <c r="M62" i="9"/>
  <c r="L63" i="9"/>
  <c r="E56" i="9"/>
  <c r="G56" i="9"/>
  <c r="M56" i="9"/>
  <c r="E57" i="9"/>
  <c r="M57" i="9"/>
  <c r="I58" i="9"/>
  <c r="K58" i="9"/>
  <c r="J29" i="16" s="1"/>
  <c r="F55" i="9"/>
  <c r="H55" i="9"/>
  <c r="D55" i="9"/>
  <c r="D44" i="9"/>
  <c r="E42" i="9"/>
  <c r="E47" i="9" s="1"/>
  <c r="E9" i="10" s="1"/>
  <c r="F42" i="9"/>
  <c r="F47" i="9" s="1"/>
  <c r="G42" i="9"/>
  <c r="G47" i="9" s="1"/>
  <c r="H42" i="9"/>
  <c r="H47" i="9" s="1"/>
  <c r="I42" i="9"/>
  <c r="I47" i="9" s="1"/>
  <c r="J42" i="9"/>
  <c r="J47" i="9" s="1"/>
  <c r="K42" i="9"/>
  <c r="K47" i="9" s="1"/>
  <c r="L42" i="9"/>
  <c r="L47" i="9" s="1"/>
  <c r="M42" i="9"/>
  <c r="M47" i="9" s="1"/>
  <c r="D42" i="9"/>
  <c r="D47" i="9" s="1"/>
  <c r="H39" i="9"/>
  <c r="J39" i="9"/>
  <c r="F36" i="9"/>
  <c r="H36" i="9"/>
  <c r="E30" i="9"/>
  <c r="K30" i="9"/>
  <c r="M30" i="9"/>
  <c r="L16" i="16" s="1"/>
  <c r="I9" i="9"/>
  <c r="G9" i="9"/>
  <c r="B18" i="1"/>
  <c r="E5" i="9"/>
  <c r="G5" i="9"/>
  <c r="M5" i="9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I6" i="1" s="1"/>
  <c r="J5" i="1"/>
  <c r="K5" i="1"/>
  <c r="B5" i="1"/>
  <c r="B6" i="6"/>
  <c r="E43" i="19" s="1"/>
  <c r="C17" i="2"/>
  <c r="E68" i="9" s="1"/>
  <c r="D17" i="2"/>
  <c r="F68" i="9" s="1"/>
  <c r="E17" i="2"/>
  <c r="G68" i="9" s="1"/>
  <c r="F17" i="2"/>
  <c r="H68" i="9" s="1"/>
  <c r="G17" i="2"/>
  <c r="H17" i="2"/>
  <c r="J68" i="9" s="1"/>
  <c r="I17" i="2"/>
  <c r="J17" i="2"/>
  <c r="L68" i="9" s="1"/>
  <c r="K17" i="2"/>
  <c r="M68" i="9" s="1"/>
  <c r="C18" i="2"/>
  <c r="E69" i="9" s="1"/>
  <c r="D18" i="2"/>
  <c r="F69" i="9" s="1"/>
  <c r="E18" i="2"/>
  <c r="G69" i="9" s="1"/>
  <c r="F18" i="2"/>
  <c r="G18" i="2"/>
  <c r="I69" i="9" s="1"/>
  <c r="H18" i="2"/>
  <c r="I18" i="2"/>
  <c r="K69" i="9" s="1"/>
  <c r="J18" i="2"/>
  <c r="L69" i="9" s="1"/>
  <c r="K18" i="2"/>
  <c r="M69" i="9" s="1"/>
  <c r="B17" i="2"/>
  <c r="D68" i="9" s="1"/>
  <c r="C4" i="2"/>
  <c r="D4" i="2"/>
  <c r="E4" i="2"/>
  <c r="G55" i="9" s="1"/>
  <c r="E5" i="2"/>
  <c r="F4" i="2"/>
  <c r="G4" i="2"/>
  <c r="I55" i="9" s="1"/>
  <c r="H4" i="2"/>
  <c r="J55" i="9" s="1"/>
  <c r="I4" i="2"/>
  <c r="K55" i="9" s="1"/>
  <c r="J26" i="16" s="1"/>
  <c r="I5" i="2"/>
  <c r="K56" i="9" s="1"/>
  <c r="J27" i="16" s="1"/>
  <c r="J4" i="2"/>
  <c r="L55" i="9" s="1"/>
  <c r="K26" i="16" s="1"/>
  <c r="J5" i="2"/>
  <c r="L56" i="9" s="1"/>
  <c r="K4" i="2"/>
  <c r="M55" i="9" s="1"/>
  <c r="C5" i="2"/>
  <c r="D5" i="2"/>
  <c r="F56" i="9" s="1"/>
  <c r="F5" i="2"/>
  <c r="H56" i="9" s="1"/>
  <c r="G27" i="16" s="1"/>
  <c r="G5" i="2"/>
  <c r="I56" i="9" s="1"/>
  <c r="H5" i="2"/>
  <c r="J56" i="9" s="1"/>
  <c r="K5" i="2"/>
  <c r="C6" i="2"/>
  <c r="D6" i="2"/>
  <c r="F57" i="9" s="1"/>
  <c r="E6" i="2"/>
  <c r="G57" i="9" s="1"/>
  <c r="F6" i="2"/>
  <c r="H57" i="9" s="1"/>
  <c r="G6" i="2"/>
  <c r="I57" i="9" s="1"/>
  <c r="H6" i="2"/>
  <c r="J57" i="9" s="1"/>
  <c r="I6" i="2"/>
  <c r="K57" i="9" s="1"/>
  <c r="J28" i="16" s="1"/>
  <c r="J6" i="2"/>
  <c r="L57" i="9" s="1"/>
  <c r="K28" i="16" s="1"/>
  <c r="K6" i="2"/>
  <c r="C7" i="2"/>
  <c r="E58" i="9" s="1"/>
  <c r="D7" i="2"/>
  <c r="F58" i="9" s="1"/>
  <c r="E29" i="16" s="1"/>
  <c r="E7" i="2"/>
  <c r="G58" i="9" s="1"/>
  <c r="F7" i="2"/>
  <c r="H58" i="9" s="1"/>
  <c r="G29" i="16" s="1"/>
  <c r="G7" i="2"/>
  <c r="H7" i="2"/>
  <c r="J58" i="9" s="1"/>
  <c r="I7" i="2"/>
  <c r="J7" i="2"/>
  <c r="L58" i="9" s="1"/>
  <c r="K7" i="2"/>
  <c r="M58" i="9" s="1"/>
  <c r="C8" i="2"/>
  <c r="E59" i="9" s="1"/>
  <c r="D30" i="16" s="1"/>
  <c r="D8" i="2"/>
  <c r="F59" i="9" s="1"/>
  <c r="E30" i="16" s="1"/>
  <c r="E8" i="2"/>
  <c r="G59" i="9" s="1"/>
  <c r="F30" i="16" s="1"/>
  <c r="F8" i="2"/>
  <c r="H59" i="9" s="1"/>
  <c r="G30" i="16" s="1"/>
  <c r="G8" i="2"/>
  <c r="I59" i="9" s="1"/>
  <c r="H30" i="16" s="1"/>
  <c r="H8" i="2"/>
  <c r="J59" i="9" s="1"/>
  <c r="I30" i="16" s="1"/>
  <c r="I8" i="2"/>
  <c r="K59" i="9" s="1"/>
  <c r="J30" i="16" s="1"/>
  <c r="J8" i="2"/>
  <c r="L59" i="9" s="1"/>
  <c r="K30" i="16" s="1"/>
  <c r="K8" i="2"/>
  <c r="M59" i="9" s="1"/>
  <c r="L30" i="16" s="1"/>
  <c r="C10" i="2"/>
  <c r="E61" i="9" s="1"/>
  <c r="D10" i="2"/>
  <c r="E10" i="2"/>
  <c r="G61" i="9" s="1"/>
  <c r="F10" i="2"/>
  <c r="H61" i="9" s="1"/>
  <c r="G10" i="2"/>
  <c r="I61" i="9" s="1"/>
  <c r="H10" i="2"/>
  <c r="J61" i="9" s="1"/>
  <c r="I10" i="2"/>
  <c r="K61" i="9" s="1"/>
  <c r="J10" i="2"/>
  <c r="L61" i="9" s="1"/>
  <c r="K10" i="2"/>
  <c r="M61" i="9" s="1"/>
  <c r="C11" i="2"/>
  <c r="D11" i="2"/>
  <c r="F62" i="9" s="1"/>
  <c r="E11" i="2"/>
  <c r="G62" i="9" s="1"/>
  <c r="F11" i="2"/>
  <c r="H62" i="9" s="1"/>
  <c r="G11" i="2"/>
  <c r="I62" i="9" s="1"/>
  <c r="H11" i="2"/>
  <c r="J62" i="9" s="1"/>
  <c r="I11" i="2"/>
  <c r="K62" i="9" s="1"/>
  <c r="J11" i="2"/>
  <c r="L62" i="9" s="1"/>
  <c r="K11" i="2"/>
  <c r="C12" i="2"/>
  <c r="E63" i="9" s="1"/>
  <c r="D12" i="2"/>
  <c r="F63" i="9" s="1"/>
  <c r="E12" i="2"/>
  <c r="G63" i="9" s="1"/>
  <c r="F12" i="2"/>
  <c r="H63" i="9" s="1"/>
  <c r="G12" i="2"/>
  <c r="I63" i="9" s="1"/>
  <c r="H12" i="2"/>
  <c r="J63" i="9" s="1"/>
  <c r="I12" i="2"/>
  <c r="K63" i="9" s="1"/>
  <c r="J12" i="2"/>
  <c r="K12" i="2"/>
  <c r="M63" i="9" s="1"/>
  <c r="C13" i="2"/>
  <c r="D13" i="2"/>
  <c r="E13" i="2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D56" i="9" s="1"/>
  <c r="C27" i="16" s="1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D14" i="3" s="1"/>
  <c r="E4" i="3"/>
  <c r="F4" i="3"/>
  <c r="G4" i="3"/>
  <c r="H4" i="3"/>
  <c r="I4" i="3"/>
  <c r="J4" i="3"/>
  <c r="J14" i="3" s="1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L10" i="1" s="1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C4" i="1"/>
  <c r="E9" i="9" s="1"/>
  <c r="D4" i="1"/>
  <c r="E4" i="1"/>
  <c r="F4" i="1"/>
  <c r="G4" i="1"/>
  <c r="H4" i="1"/>
  <c r="I4" i="1"/>
  <c r="K9" i="9" s="1"/>
  <c r="J4" i="1"/>
  <c r="J6" i="1" s="1"/>
  <c r="K4" i="1"/>
  <c r="M9" i="9" s="1"/>
  <c r="M30" i="10" s="1"/>
  <c r="M36" i="10" s="1"/>
  <c r="C7" i="1"/>
  <c r="D7" i="1"/>
  <c r="E7" i="1"/>
  <c r="F7" i="1"/>
  <c r="G7" i="1"/>
  <c r="H7" i="1"/>
  <c r="I7" i="1"/>
  <c r="J7" i="1"/>
  <c r="K7" i="1"/>
  <c r="C8" i="1"/>
  <c r="E24" i="9" s="1"/>
  <c r="D8" i="1"/>
  <c r="F24" i="9" s="1"/>
  <c r="E8" i="1"/>
  <c r="F8" i="1"/>
  <c r="H24" i="9" s="1"/>
  <c r="G8" i="1"/>
  <c r="I24" i="9" s="1"/>
  <c r="H8" i="1"/>
  <c r="I8" i="1"/>
  <c r="K24" i="9" s="1"/>
  <c r="J8" i="1"/>
  <c r="L24" i="9" s="1"/>
  <c r="K8" i="1"/>
  <c r="M24" i="9" s="1"/>
  <c r="C9" i="1"/>
  <c r="D9" i="1"/>
  <c r="F30" i="9" s="1"/>
  <c r="E9" i="1"/>
  <c r="G30" i="9" s="1"/>
  <c r="F16" i="16" s="1"/>
  <c r="F9" i="1"/>
  <c r="H30" i="9" s="1"/>
  <c r="G9" i="1"/>
  <c r="I30" i="9" s="1"/>
  <c r="H16" i="16" s="1"/>
  <c r="H9" i="1"/>
  <c r="J30" i="9" s="1"/>
  <c r="I9" i="1"/>
  <c r="J9" i="1"/>
  <c r="L30" i="9" s="1"/>
  <c r="K9" i="1"/>
  <c r="C10" i="1"/>
  <c r="E33" i="9" s="1"/>
  <c r="D10" i="1"/>
  <c r="F33" i="9" s="1"/>
  <c r="E10" i="1"/>
  <c r="G33" i="9" s="1"/>
  <c r="F10" i="1"/>
  <c r="H33" i="9" s="1"/>
  <c r="G10" i="1"/>
  <c r="I33" i="9" s="1"/>
  <c r="H10" i="1"/>
  <c r="J33" i="9" s="1"/>
  <c r="I10" i="1"/>
  <c r="K33" i="9" s="1"/>
  <c r="J10" i="1"/>
  <c r="L33" i="9" s="1"/>
  <c r="K10" i="1"/>
  <c r="M33" i="9" s="1"/>
  <c r="C11" i="1"/>
  <c r="E36" i="9" s="1"/>
  <c r="D18" i="16" s="1"/>
  <c r="D11" i="1"/>
  <c r="E11" i="1"/>
  <c r="G36" i="9" s="1"/>
  <c r="F18" i="16" s="1"/>
  <c r="F11" i="1"/>
  <c r="G11" i="1"/>
  <c r="I36" i="9" s="1"/>
  <c r="H11" i="1"/>
  <c r="J36" i="9" s="1"/>
  <c r="I11" i="1"/>
  <c r="K36" i="9" s="1"/>
  <c r="J11" i="1"/>
  <c r="L36" i="9" s="1"/>
  <c r="K11" i="1"/>
  <c r="M36" i="9" s="1"/>
  <c r="L18" i="16" s="1"/>
  <c r="C12" i="1"/>
  <c r="C13" i="1" s="1"/>
  <c r="D12" i="1"/>
  <c r="D23" i="2" s="1"/>
  <c r="E12" i="1"/>
  <c r="E23" i="2" s="1"/>
  <c r="F12" i="1"/>
  <c r="F13" i="1" s="1"/>
  <c r="H44" i="9" s="1"/>
  <c r="G12" i="1"/>
  <c r="G13" i="1" s="1"/>
  <c r="H12" i="1"/>
  <c r="H13" i="1" s="1"/>
  <c r="J44" i="9" s="1"/>
  <c r="I12" i="1"/>
  <c r="I13" i="1" s="1"/>
  <c r="K44" i="9" s="1"/>
  <c r="J12" i="1"/>
  <c r="K12" i="1"/>
  <c r="K13" i="1" s="1"/>
  <c r="M44" i="9" s="1"/>
  <c r="C15" i="1"/>
  <c r="D15" i="1"/>
  <c r="E15" i="1"/>
  <c r="F15" i="1"/>
  <c r="G15" i="1"/>
  <c r="H15" i="1"/>
  <c r="I15" i="1"/>
  <c r="J15" i="1"/>
  <c r="K15" i="1"/>
  <c r="B15" i="1"/>
  <c r="B7" i="1"/>
  <c r="B4" i="1"/>
  <c r="B20" i="2" s="1"/>
  <c r="A1" i="1"/>
  <c r="B4" i="9" s="1"/>
  <c r="E1" i="6"/>
  <c r="H1" i="1" s="1"/>
  <c r="H16" i="2"/>
  <c r="J67" i="9" s="1"/>
  <c r="D16" i="2"/>
  <c r="F67" i="9" s="1"/>
  <c r="F23" i="2"/>
  <c r="F16" i="2"/>
  <c r="H67" i="9" s="1"/>
  <c r="K6" i="1"/>
  <c r="M21" i="9" s="1"/>
  <c r="K19" i="1"/>
  <c r="C6" i="1"/>
  <c r="E21" i="9" s="1"/>
  <c r="D13" i="16" s="1"/>
  <c r="C19" i="1"/>
  <c r="D6" i="1"/>
  <c r="D19" i="1" s="1"/>
  <c r="B6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F5" i="9" s="1"/>
  <c r="E3" i="1"/>
  <c r="F3" i="1"/>
  <c r="H5" i="9" s="1"/>
  <c r="G3" i="1"/>
  <c r="I5" i="9" s="1"/>
  <c r="H3" i="1"/>
  <c r="J5" i="9" s="1"/>
  <c r="I3" i="1"/>
  <c r="K5" i="9" s="1"/>
  <c r="J3" i="1"/>
  <c r="L5" i="9" s="1"/>
  <c r="K3" i="1"/>
  <c r="B7" i="4"/>
  <c r="B6" i="4"/>
  <c r="B5" i="4"/>
  <c r="B4" i="4"/>
  <c r="B3" i="4"/>
  <c r="K21" i="2"/>
  <c r="I21" i="2"/>
  <c r="G21" i="2"/>
  <c r="C21" i="2"/>
  <c r="B18" i="2"/>
  <c r="B13" i="2"/>
  <c r="B16" i="2" s="1"/>
  <c r="D67" i="9" s="1"/>
  <c r="B12" i="2"/>
  <c r="D63" i="9" s="1"/>
  <c r="B11" i="2"/>
  <c r="D62" i="9" s="1"/>
  <c r="B10" i="2"/>
  <c r="D61" i="9" s="1"/>
  <c r="B8" i="2"/>
  <c r="D59" i="9" s="1"/>
  <c r="C30" i="16" s="1"/>
  <c r="B7" i="2"/>
  <c r="D58" i="9" s="1"/>
  <c r="C29" i="16" s="1"/>
  <c r="B6" i="2"/>
  <c r="D57" i="9" s="1"/>
  <c r="C28" i="16" s="1"/>
  <c r="B3" i="2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D36" i="9" s="1"/>
  <c r="B10" i="1"/>
  <c r="D33" i="9" s="1"/>
  <c r="B9" i="1"/>
  <c r="D30" i="9" s="1"/>
  <c r="B8" i="1"/>
  <c r="D24" i="9" s="1"/>
  <c r="B3" i="1"/>
  <c r="D5" i="9" s="1"/>
  <c r="E14" i="3"/>
  <c r="G14" i="3"/>
  <c r="G20" i="2"/>
  <c r="K20" i="2"/>
  <c r="J20" i="2"/>
  <c r="C20" i="2"/>
  <c r="E20" i="2"/>
  <c r="I23" i="1"/>
  <c r="F32" i="12" l="1"/>
  <c r="F34" i="12" s="1"/>
  <c r="G34" i="12" s="1"/>
  <c r="G33" i="12" s="1"/>
  <c r="M42" i="12" s="1"/>
  <c r="M43" i="12" s="1"/>
  <c r="M13" i="12"/>
  <c r="M20" i="12" s="1"/>
  <c r="M31" i="12" s="1"/>
  <c r="F23" i="10"/>
  <c r="I19" i="1"/>
  <c r="K21" i="9"/>
  <c r="J13" i="16" s="1"/>
  <c r="B19" i="1"/>
  <c r="D21" i="9"/>
  <c r="K13" i="9"/>
  <c r="J9" i="16"/>
  <c r="K31" i="10"/>
  <c r="K27" i="10"/>
  <c r="K33" i="10" s="1"/>
  <c r="K28" i="10"/>
  <c r="K34" i="10" s="1"/>
  <c r="K29" i="10"/>
  <c r="K35" i="10" s="1"/>
  <c r="K30" i="10"/>
  <c r="K36" i="10" s="1"/>
  <c r="B21" i="2"/>
  <c r="D69" i="9"/>
  <c r="J9" i="9"/>
  <c r="H21" i="2"/>
  <c r="C16" i="2"/>
  <c r="E67" i="9" s="1"/>
  <c r="H23" i="10"/>
  <c r="H14" i="16"/>
  <c r="I25" i="9"/>
  <c r="I18" i="10" s="1"/>
  <c r="E7" i="16"/>
  <c r="E24" i="16"/>
  <c r="K45" i="9"/>
  <c r="L17" i="16"/>
  <c r="M23" i="10"/>
  <c r="D17" i="16"/>
  <c r="E23" i="10"/>
  <c r="O23" i="10" s="1"/>
  <c r="I28" i="16"/>
  <c r="H27" i="16"/>
  <c r="D16" i="16"/>
  <c r="L28" i="16"/>
  <c r="G24" i="16"/>
  <c r="G7" i="16"/>
  <c r="J13" i="1"/>
  <c r="L39" i="9"/>
  <c r="L6" i="1"/>
  <c r="F7" i="16"/>
  <c r="F24" i="16"/>
  <c r="D28" i="16"/>
  <c r="I27" i="16"/>
  <c r="H28" i="16"/>
  <c r="I26" i="16"/>
  <c r="D23" i="10"/>
  <c r="K7" i="16"/>
  <c r="K24" i="16"/>
  <c r="I5" i="19"/>
  <c r="M22" i="9"/>
  <c r="L13" i="16"/>
  <c r="J37" i="9"/>
  <c r="I18" i="16"/>
  <c r="J17" i="16"/>
  <c r="K23" i="10"/>
  <c r="L14" i="16"/>
  <c r="M25" i="9"/>
  <c r="M18" i="10" s="1"/>
  <c r="D14" i="16"/>
  <c r="E25" i="9"/>
  <c r="E18" i="10" s="1"/>
  <c r="J64" i="9"/>
  <c r="F29" i="16"/>
  <c r="G28" i="16"/>
  <c r="E27" i="16"/>
  <c r="H26" i="16"/>
  <c r="J19" i="1"/>
  <c r="L21" i="9"/>
  <c r="G34" i="9"/>
  <c r="G14" i="10" s="1"/>
  <c r="F17" i="16"/>
  <c r="G23" i="10"/>
  <c r="H25" i="9"/>
  <c r="H18" i="10" s="1"/>
  <c r="I29" i="16"/>
  <c r="C23" i="2"/>
  <c r="E55" i="9"/>
  <c r="D26" i="16" s="1"/>
  <c r="J18" i="16"/>
  <c r="J7" i="16"/>
  <c r="J24" i="16"/>
  <c r="H5" i="19"/>
  <c r="F28" i="16"/>
  <c r="G26" i="16"/>
  <c r="F27" i="16"/>
  <c r="E12" i="16"/>
  <c r="B15" i="11"/>
  <c r="L23" i="10"/>
  <c r="C7" i="16"/>
  <c r="C24" i="16"/>
  <c r="C4" i="11" a="1"/>
  <c r="C9" i="11" s="1"/>
  <c r="M64" i="9"/>
  <c r="K16" i="2"/>
  <c r="M67" i="9" s="1"/>
  <c r="L12" i="1"/>
  <c r="L13" i="1" s="1"/>
  <c r="L14" i="1" s="1"/>
  <c r="L25" i="1" s="1"/>
  <c r="I37" i="9"/>
  <c r="H18" i="16"/>
  <c r="I17" i="16"/>
  <c r="J23" i="10"/>
  <c r="I7" i="16"/>
  <c r="G5" i="19"/>
  <c r="I24" i="16"/>
  <c r="H17" i="16"/>
  <c r="I23" i="10"/>
  <c r="I16" i="16"/>
  <c r="J14" i="16"/>
  <c r="K25" i="9"/>
  <c r="K18" i="10" s="1"/>
  <c r="M10" i="9"/>
  <c r="M5" i="10" s="1"/>
  <c r="L9" i="16"/>
  <c r="M29" i="10"/>
  <c r="M35" i="10" s="1"/>
  <c r="M31" i="10"/>
  <c r="M27" i="10"/>
  <c r="M33" i="10" s="1"/>
  <c r="M28" i="10"/>
  <c r="M34" i="10" s="1"/>
  <c r="E15" i="9"/>
  <c r="D9" i="16"/>
  <c r="E29" i="10"/>
  <c r="E27" i="10"/>
  <c r="E28" i="10"/>
  <c r="H64" i="9"/>
  <c r="L29" i="16"/>
  <c r="D29" i="16"/>
  <c r="E28" i="16"/>
  <c r="L26" i="16"/>
  <c r="F9" i="16"/>
  <c r="G27" i="10"/>
  <c r="G33" i="10" s="1"/>
  <c r="G29" i="10"/>
  <c r="G35" i="10" s="1"/>
  <c r="G30" i="10"/>
  <c r="G36" i="10" s="1"/>
  <c r="G31" i="10"/>
  <c r="I19" i="16"/>
  <c r="E30" i="10"/>
  <c r="H24" i="16"/>
  <c r="H7" i="16"/>
  <c r="K29" i="16"/>
  <c r="K27" i="16"/>
  <c r="F26" i="16"/>
  <c r="I30" i="10"/>
  <c r="I36" i="10" s="1"/>
  <c r="F20" i="2"/>
  <c r="J5" i="19"/>
  <c r="K5" i="19" s="1"/>
  <c r="L5" i="19" s="1"/>
  <c r="M5" i="19" s="1"/>
  <c r="N5" i="19" s="1"/>
  <c r="O5" i="19" s="1"/>
  <c r="L7" i="16"/>
  <c r="L24" i="16"/>
  <c r="J16" i="16"/>
  <c r="C26" i="16"/>
  <c r="E26" i="16"/>
  <c r="H29" i="16"/>
  <c r="L27" i="16"/>
  <c r="D27" i="16"/>
  <c r="L64" i="9"/>
  <c r="J10" i="16"/>
  <c r="D27" i="9"/>
  <c r="F27" i="9"/>
  <c r="L19" i="9"/>
  <c r="L17" i="10" s="1"/>
  <c r="K12" i="16"/>
  <c r="F21" i="9"/>
  <c r="A1" i="2"/>
  <c r="A1" i="4" s="1"/>
  <c r="F14" i="1"/>
  <c r="G14" i="1"/>
  <c r="E21" i="2"/>
  <c r="L11" i="1"/>
  <c r="N11" i="1" s="1"/>
  <c r="G39" i="9"/>
  <c r="F19" i="16" s="1"/>
  <c r="I9" i="10"/>
  <c r="I10" i="16"/>
  <c r="M27" i="9"/>
  <c r="E27" i="9"/>
  <c r="J12" i="16"/>
  <c r="G24" i="9"/>
  <c r="I31" i="10"/>
  <c r="A1" i="3"/>
  <c r="B2" i="16"/>
  <c r="B5" i="16"/>
  <c r="B2" i="19"/>
  <c r="B2" i="17"/>
  <c r="B2" i="14"/>
  <c r="B40" i="17"/>
  <c r="B5" i="17"/>
  <c r="B5" i="14"/>
  <c r="B54" i="17"/>
  <c r="B22" i="16"/>
  <c r="D7" i="16"/>
  <c r="D24" i="16"/>
  <c r="J48" i="9"/>
  <c r="D20" i="2"/>
  <c r="D39" i="9"/>
  <c r="F39" i="9"/>
  <c r="H10" i="16"/>
  <c r="L27" i="9"/>
  <c r="I12" i="16"/>
  <c r="L4" i="1"/>
  <c r="L23" i="1" s="1"/>
  <c r="I15" i="9"/>
  <c r="H9" i="16"/>
  <c r="H14" i="3"/>
  <c r="J21" i="2"/>
  <c r="D9" i="9"/>
  <c r="L9" i="9"/>
  <c r="K14" i="16" s="1"/>
  <c r="M39" i="9"/>
  <c r="E39" i="9"/>
  <c r="D19" i="16" s="1"/>
  <c r="I44" i="9"/>
  <c r="J45" i="9" s="1"/>
  <c r="G10" i="16"/>
  <c r="K27" i="9"/>
  <c r="H12" i="16"/>
  <c r="I29" i="10"/>
  <c r="I35" i="10" s="1"/>
  <c r="L8" i="1"/>
  <c r="D48" i="9"/>
  <c r="F10" i="16"/>
  <c r="I28" i="10"/>
  <c r="I34" i="10" s="1"/>
  <c r="C14" i="1"/>
  <c r="K14" i="3"/>
  <c r="C14" i="3"/>
  <c r="E24" i="2"/>
  <c r="F9" i="9"/>
  <c r="E14" i="16" s="1"/>
  <c r="K39" i="9"/>
  <c r="M48" i="9"/>
  <c r="E10" i="16"/>
  <c r="I27" i="9"/>
  <c r="I28" i="9" s="1"/>
  <c r="I13" i="10" s="1"/>
  <c r="C10" i="16"/>
  <c r="F12" i="16"/>
  <c r="I27" i="10"/>
  <c r="I33" i="10" s="1"/>
  <c r="G6" i="1"/>
  <c r="L5" i="1"/>
  <c r="I14" i="3"/>
  <c r="G16" i="2"/>
  <c r="I67" i="9" s="1"/>
  <c r="G23" i="2"/>
  <c r="H9" i="9"/>
  <c r="H31" i="9" s="1"/>
  <c r="I39" i="9"/>
  <c r="K9" i="10"/>
  <c r="E44" i="9"/>
  <c r="E45" i="9" s="1"/>
  <c r="K10" i="16"/>
  <c r="L12" i="16"/>
  <c r="D12" i="16"/>
  <c r="P17" i="20"/>
  <c r="P21" i="20"/>
  <c r="P18" i="20"/>
  <c r="P22" i="20"/>
  <c r="P19" i="20"/>
  <c r="P20" i="20"/>
  <c r="O20" i="20"/>
  <c r="O19" i="20"/>
  <c r="O18" i="20"/>
  <c r="O21" i="20"/>
  <c r="O17" i="20"/>
  <c r="O22" i="20"/>
  <c r="Q17" i="20"/>
  <c r="Q21" i="20"/>
  <c r="Q19" i="20"/>
  <c r="Q20" i="20"/>
  <c r="Q28" i="20" s="1"/>
  <c r="Q18" i="20"/>
  <c r="Q22" i="20"/>
  <c r="D19" i="17"/>
  <c r="F19" i="17"/>
  <c r="G19" i="17"/>
  <c r="E19" i="17"/>
  <c r="F22" i="9"/>
  <c r="K34" i="9"/>
  <c r="K14" i="10" s="1"/>
  <c r="J13" i="9"/>
  <c r="M28" i="9"/>
  <c r="M13" i="10" s="1"/>
  <c r="E34" i="9"/>
  <c r="E14" i="10" s="1"/>
  <c r="M19" i="9"/>
  <c r="M17" i="10" s="1"/>
  <c r="M34" i="9"/>
  <c r="M14" i="10" s="1"/>
  <c r="E19" i="9"/>
  <c r="E17" i="10" s="1"/>
  <c r="G15" i="9"/>
  <c r="M31" i="9"/>
  <c r="E31" i="9"/>
  <c r="H37" i="9"/>
  <c r="J40" i="9"/>
  <c r="J15" i="10" s="1"/>
  <c r="M13" i="9"/>
  <c r="E13" i="9"/>
  <c r="L22" i="9"/>
  <c r="F31" i="9"/>
  <c r="F34" i="9"/>
  <c r="F14" i="10" s="1"/>
  <c r="F19" i="9"/>
  <c r="F17" i="10" s="1"/>
  <c r="G31" i="9"/>
  <c r="K31" i="9"/>
  <c r="L34" i="9"/>
  <c r="L14" i="10" s="1"/>
  <c r="D37" i="9"/>
  <c r="F37" i="9"/>
  <c r="H40" i="9"/>
  <c r="H15" i="10" s="1"/>
  <c r="F7" i="10"/>
  <c r="I10" i="9"/>
  <c r="I5" i="10" s="1"/>
  <c r="M15" i="9"/>
  <c r="F6" i="10"/>
  <c r="I31" i="9"/>
  <c r="J34" i="9"/>
  <c r="J14" i="10" s="1"/>
  <c r="L37" i="9"/>
  <c r="D40" i="9"/>
  <c r="D15" i="10" s="1"/>
  <c r="H48" i="9"/>
  <c r="H50" i="9" s="1"/>
  <c r="H22" i="10" s="1"/>
  <c r="I13" i="9"/>
  <c r="L28" i="9"/>
  <c r="L13" i="10" s="1"/>
  <c r="J19" i="9"/>
  <c r="J17" i="10" s="1"/>
  <c r="F28" i="9"/>
  <c r="F13" i="10" s="1"/>
  <c r="G37" i="9"/>
  <c r="J31" i="9"/>
  <c r="M37" i="9"/>
  <c r="E37" i="9"/>
  <c r="G40" i="9"/>
  <c r="G15" i="10" s="1"/>
  <c r="F15" i="9"/>
  <c r="L15" i="9"/>
  <c r="I34" i="9"/>
  <c r="I14" i="10" s="1"/>
  <c r="K37" i="9"/>
  <c r="M40" i="9"/>
  <c r="M15" i="10" s="1"/>
  <c r="E40" i="9"/>
  <c r="E15" i="10" s="1"/>
  <c r="I45" i="9"/>
  <c r="H13" i="9"/>
  <c r="I19" i="9"/>
  <c r="I17" i="10" s="1"/>
  <c r="E28" i="9"/>
  <c r="E13" i="10" s="1"/>
  <c r="I48" i="9"/>
  <c r="I50" i="9" s="1"/>
  <c r="I22" i="10" s="1"/>
  <c r="I24" i="10" s="1"/>
  <c r="J8" i="10"/>
  <c r="E22" i="9"/>
  <c r="H34" i="9"/>
  <c r="H14" i="10" s="1"/>
  <c r="F9" i="10"/>
  <c r="O9" i="10" s="1"/>
  <c r="G13" i="9"/>
  <c r="H19" i="9"/>
  <c r="H17" i="10" s="1"/>
  <c r="J9" i="10"/>
  <c r="F13" i="9"/>
  <c r="G19" i="9"/>
  <c r="G17" i="10" s="1"/>
  <c r="L9" i="10"/>
  <c r="M9" i="10"/>
  <c r="H10" i="9"/>
  <c r="H5" i="10" s="1"/>
  <c r="E48" i="9"/>
  <c r="J15" i="9"/>
  <c r="E6" i="10"/>
  <c r="I8" i="10"/>
  <c r="M7" i="10"/>
  <c r="K15" i="9"/>
  <c r="G10" i="9"/>
  <c r="G5" i="10" s="1"/>
  <c r="H9" i="10"/>
  <c r="H8" i="10"/>
  <c r="F40" i="9"/>
  <c r="F15" i="10" s="1"/>
  <c r="K40" i="9"/>
  <c r="K15" i="10" s="1"/>
  <c r="E10" i="9"/>
  <c r="E5" i="10" s="1"/>
  <c r="F10" i="9"/>
  <c r="F5" i="10" s="1"/>
  <c r="K48" i="9"/>
  <c r="G9" i="10"/>
  <c r="G8" i="10"/>
  <c r="L10" i="9"/>
  <c r="L5" i="10" s="1"/>
  <c r="M6" i="10"/>
  <c r="K10" i="9"/>
  <c r="K5" i="10" s="1"/>
  <c r="L13" i="9"/>
  <c r="K19" i="9"/>
  <c r="K17" i="10" s="1"/>
  <c r="K22" i="9"/>
  <c r="L8" i="10"/>
  <c r="L6" i="10"/>
  <c r="J10" i="9"/>
  <c r="J5" i="10" s="1"/>
  <c r="I86" i="9"/>
  <c r="K86" i="9"/>
  <c r="I99" i="9"/>
  <c r="H86" i="9"/>
  <c r="F99" i="9"/>
  <c r="E109" i="9"/>
  <c r="D99" i="9"/>
  <c r="L109" i="9"/>
  <c r="M86" i="9"/>
  <c r="M109" i="9"/>
  <c r="F109" i="9"/>
  <c r="K109" i="9"/>
  <c r="G99" i="9"/>
  <c r="L99" i="9"/>
  <c r="J86" i="9"/>
  <c r="H99" i="9"/>
  <c r="J109" i="9"/>
  <c r="I109" i="9"/>
  <c r="H109" i="9"/>
  <c r="G86" i="9"/>
  <c r="G109" i="9"/>
  <c r="D86" i="9"/>
  <c r="E86" i="9"/>
  <c r="F86" i="9"/>
  <c r="L86" i="9"/>
  <c r="J99" i="9"/>
  <c r="M99" i="9"/>
  <c r="E99" i="9"/>
  <c r="K99" i="9"/>
  <c r="D109" i="9"/>
  <c r="H65" i="9"/>
  <c r="D70" i="9"/>
  <c r="D65" i="9"/>
  <c r="M70" i="9"/>
  <c r="E70" i="9"/>
  <c r="M50" i="9"/>
  <c r="M22" i="10" s="1"/>
  <c r="M24" i="10" s="1"/>
  <c r="F70" i="9"/>
  <c r="F65" i="9"/>
  <c r="L70" i="9"/>
  <c r="M65" i="9"/>
  <c r="K70" i="9"/>
  <c r="L65" i="9"/>
  <c r="J70" i="9"/>
  <c r="H70" i="9"/>
  <c r="J65" i="9"/>
  <c r="K50" i="9"/>
  <c r="K22" i="10" s="1"/>
  <c r="K24" i="10" s="1"/>
  <c r="J50" i="9"/>
  <c r="J22" i="10" s="1"/>
  <c r="E50" i="9"/>
  <c r="E22" i="10" s="1"/>
  <c r="D50" i="9"/>
  <c r="D22" i="10" s="1"/>
  <c r="K14" i="1"/>
  <c r="M11" i="1"/>
  <c r="H23" i="2"/>
  <c r="J24" i="2"/>
  <c r="D24" i="2"/>
  <c r="I24" i="2"/>
  <c r="E6" i="1"/>
  <c r="K23" i="2"/>
  <c r="I14" i="1"/>
  <c r="C24" i="2"/>
  <c r="H24" i="2"/>
  <c r="J23" i="1"/>
  <c r="L19" i="1"/>
  <c r="L24" i="1" s="1"/>
  <c r="D21" i="2"/>
  <c r="B23" i="2"/>
  <c r="H14" i="1"/>
  <c r="G24" i="2"/>
  <c r="D13" i="1"/>
  <c r="L7" i="1"/>
  <c r="E16" i="2"/>
  <c r="G67" i="9" s="1"/>
  <c r="G70" i="9" s="1"/>
  <c r="J23" i="2"/>
  <c r="K24" i="1"/>
  <c r="H23" i="1"/>
  <c r="F21" i="2"/>
  <c r="E1" i="3"/>
  <c r="B14" i="1"/>
  <c r="I16" i="2"/>
  <c r="K67" i="9" s="1"/>
  <c r="K24" i="2"/>
  <c r="E1" i="2"/>
  <c r="I23" i="2"/>
  <c r="F24" i="2"/>
  <c r="M24" i="1"/>
  <c r="M9" i="1"/>
  <c r="N9" i="1"/>
  <c r="N8" i="1"/>
  <c r="M8" i="1"/>
  <c r="I20" i="2"/>
  <c r="H20" i="2"/>
  <c r="K23" i="1"/>
  <c r="M23" i="1" s="1"/>
  <c r="M4" i="1" s="1"/>
  <c r="H6" i="1"/>
  <c r="F6" i="1"/>
  <c r="E1" i="4"/>
  <c r="F36" i="12" l="1"/>
  <c r="M19" i="12"/>
  <c r="L19" i="12"/>
  <c r="L20" i="12"/>
  <c r="K12" i="10"/>
  <c r="K19" i="10"/>
  <c r="C9" i="16"/>
  <c r="D4" i="11" a="1"/>
  <c r="D31" i="10"/>
  <c r="D30" i="10"/>
  <c r="D29" i="10"/>
  <c r="D27" i="10"/>
  <c r="D28" i="10"/>
  <c r="P9" i="10"/>
  <c r="E36" i="10"/>
  <c r="E33" i="10"/>
  <c r="D25" i="9"/>
  <c r="D18" i="10" s="1"/>
  <c r="C6" i="11"/>
  <c r="C5" i="11"/>
  <c r="C13" i="11"/>
  <c r="C14" i="11" s="1"/>
  <c r="C15" i="11" s="1"/>
  <c r="C16" i="11" s="1"/>
  <c r="C17" i="11" s="1"/>
  <c r="C18" i="11" s="1"/>
  <c r="E19" i="1"/>
  <c r="G21" i="9"/>
  <c r="I70" i="9"/>
  <c r="L40" i="10"/>
  <c r="L38" i="10"/>
  <c r="M38" i="10"/>
  <c r="M40" i="10"/>
  <c r="I38" i="10"/>
  <c r="I40" i="10"/>
  <c r="O17" i="10"/>
  <c r="F12" i="10"/>
  <c r="F19" i="10"/>
  <c r="C10" i="11"/>
  <c r="D13" i="9"/>
  <c r="F8" i="10"/>
  <c r="E19" i="16"/>
  <c r="E13" i="16"/>
  <c r="E31" i="10"/>
  <c r="B16" i="11"/>
  <c r="C18" i="16"/>
  <c r="G18" i="16"/>
  <c r="M12" i="10"/>
  <c r="M19" i="10"/>
  <c r="G64" i="9"/>
  <c r="C14" i="16"/>
  <c r="G17" i="16"/>
  <c r="E64" i="9"/>
  <c r="C13" i="16"/>
  <c r="F19" i="1"/>
  <c r="H21" i="9"/>
  <c r="H19" i="1"/>
  <c r="J21" i="9"/>
  <c r="D24" i="10"/>
  <c r="K41" i="16"/>
  <c r="D28" i="9"/>
  <c r="D13" i="10" s="1"/>
  <c r="K16" i="16"/>
  <c r="H27" i="9"/>
  <c r="K40" i="10"/>
  <c r="K38" i="10"/>
  <c r="H15" i="16"/>
  <c r="I25" i="10"/>
  <c r="I21" i="10"/>
  <c r="J15" i="16"/>
  <c r="K25" i="10"/>
  <c r="K21" i="10"/>
  <c r="C19" i="16"/>
  <c r="E35" i="10"/>
  <c r="K64" i="9"/>
  <c r="E24" i="10"/>
  <c r="J38" i="10"/>
  <c r="J40" i="10"/>
  <c r="D22" i="9"/>
  <c r="C11" i="11"/>
  <c r="G19" i="1"/>
  <c r="I21" i="9"/>
  <c r="F14" i="16"/>
  <c r="G25" i="9"/>
  <c r="G18" i="10" s="1"/>
  <c r="C12" i="16"/>
  <c r="K17" i="16"/>
  <c r="G14" i="16"/>
  <c r="L31" i="9"/>
  <c r="G16" i="16"/>
  <c r="I9" i="16"/>
  <c r="J27" i="10"/>
  <c r="J33" i="10" s="1"/>
  <c r="J28" i="10"/>
  <c r="J34" i="10" s="1"/>
  <c r="J29" i="10"/>
  <c r="J35" i="10" s="1"/>
  <c r="J30" i="10"/>
  <c r="J36" i="10" s="1"/>
  <c r="J31" i="10"/>
  <c r="L25" i="9"/>
  <c r="L18" i="10" s="1"/>
  <c r="E13" i="1"/>
  <c r="F44" i="9"/>
  <c r="H38" i="10"/>
  <c r="H40" i="10"/>
  <c r="P5" i="10"/>
  <c r="O5" i="10"/>
  <c r="J16" i="9"/>
  <c r="J11" i="10" s="1"/>
  <c r="I11" i="16"/>
  <c r="L16" i="9"/>
  <c r="L11" i="10" s="1"/>
  <c r="K11" i="16"/>
  <c r="G36" i="16"/>
  <c r="E38" i="10"/>
  <c r="E40" i="10"/>
  <c r="N23" i="1"/>
  <c r="N4" i="1" s="1"/>
  <c r="D40" i="10"/>
  <c r="D38" i="10"/>
  <c r="L7" i="10"/>
  <c r="K16" i="9"/>
  <c r="K11" i="10" s="1"/>
  <c r="J11" i="16"/>
  <c r="E12" i="10"/>
  <c r="E19" i="10"/>
  <c r="F16" i="9"/>
  <c r="F11" i="10" s="1"/>
  <c r="E11" i="16"/>
  <c r="C4" i="11"/>
  <c r="G12" i="16"/>
  <c r="I16" i="9"/>
  <c r="I11" i="10" s="1"/>
  <c r="H11" i="16"/>
  <c r="E15" i="16"/>
  <c r="I7" i="19"/>
  <c r="I11" i="19" s="1"/>
  <c r="E45" i="17"/>
  <c r="E47" i="17" s="1"/>
  <c r="E35" i="17"/>
  <c r="F25" i="10"/>
  <c r="F21" i="10"/>
  <c r="E16" i="9"/>
  <c r="E11" i="10" s="1"/>
  <c r="D11" i="16"/>
  <c r="F25" i="9"/>
  <c r="F18" i="10" s="1"/>
  <c r="K18" i="16"/>
  <c r="C40" i="16"/>
  <c r="G38" i="10"/>
  <c r="G40" i="10"/>
  <c r="O15" i="10"/>
  <c r="F40" i="10"/>
  <c r="F38" i="10"/>
  <c r="K28" i="9"/>
  <c r="K13" i="10" s="1"/>
  <c r="M16" i="9"/>
  <c r="M11" i="10" s="1"/>
  <c r="L11" i="16"/>
  <c r="L12" i="10"/>
  <c r="L19" i="10"/>
  <c r="O14" i="10"/>
  <c r="C7" i="11"/>
  <c r="I40" i="9"/>
  <c r="I15" i="10" s="1"/>
  <c r="P15" i="10" s="1"/>
  <c r="H19" i="16"/>
  <c r="K8" i="10"/>
  <c r="J19" i="16"/>
  <c r="E7" i="10"/>
  <c r="D15" i="16"/>
  <c r="H7" i="19"/>
  <c r="H11" i="19" s="1"/>
  <c r="D45" i="17"/>
  <c r="D47" i="17" s="1"/>
  <c r="D35" i="17"/>
  <c r="E21" i="10"/>
  <c r="E25" i="10"/>
  <c r="C45" i="17"/>
  <c r="C47" i="17" s="1"/>
  <c r="C35" i="17"/>
  <c r="C15" i="16"/>
  <c r="G7" i="19"/>
  <c r="G11" i="19" s="1"/>
  <c r="D25" i="10"/>
  <c r="D21" i="10"/>
  <c r="I64" i="9"/>
  <c r="C16" i="16"/>
  <c r="P23" i="10"/>
  <c r="D19" i="9"/>
  <c r="D17" i="10" s="1"/>
  <c r="P17" i="10" s="1"/>
  <c r="C8" i="11"/>
  <c r="H15" i="9"/>
  <c r="G9" i="16"/>
  <c r="H28" i="10"/>
  <c r="H34" i="10" s="1"/>
  <c r="H29" i="10"/>
  <c r="H35" i="10" s="1"/>
  <c r="H30" i="10"/>
  <c r="H36" i="10" s="1"/>
  <c r="H31" i="10"/>
  <c r="H27" i="10"/>
  <c r="H33" i="10" s="1"/>
  <c r="E9" i="16"/>
  <c r="F28" i="10"/>
  <c r="F34" i="10" s="1"/>
  <c r="F30" i="10"/>
  <c r="F36" i="10" s="1"/>
  <c r="F31" i="10"/>
  <c r="F27" i="10"/>
  <c r="F33" i="10" s="1"/>
  <c r="F29" i="10"/>
  <c r="F35" i="10" s="1"/>
  <c r="M8" i="10"/>
  <c r="L19" i="16"/>
  <c r="L15" i="16"/>
  <c r="M21" i="10"/>
  <c r="M25" i="10"/>
  <c r="J24" i="10"/>
  <c r="D31" i="9"/>
  <c r="O18" i="10"/>
  <c r="C17" i="16"/>
  <c r="L40" i="9"/>
  <c r="L15" i="10" s="1"/>
  <c r="K19" i="16"/>
  <c r="G27" i="9"/>
  <c r="J25" i="9"/>
  <c r="J18" i="10" s="1"/>
  <c r="K25" i="1"/>
  <c r="M25" i="1" s="1"/>
  <c r="M14" i="1" s="1"/>
  <c r="E8" i="10"/>
  <c r="I7" i="10"/>
  <c r="H24" i="10"/>
  <c r="D15" i="9"/>
  <c r="G16" i="9"/>
  <c r="G11" i="10" s="1"/>
  <c r="F11" i="16"/>
  <c r="C12" i="11"/>
  <c r="K9" i="16"/>
  <c r="L30" i="10"/>
  <c r="L36" i="10" s="1"/>
  <c r="L27" i="10"/>
  <c r="L33" i="10" s="1"/>
  <c r="L28" i="10"/>
  <c r="L34" i="10" s="1"/>
  <c r="L29" i="10"/>
  <c r="L35" i="10" s="1"/>
  <c r="L31" i="10"/>
  <c r="K15" i="16"/>
  <c r="L25" i="10"/>
  <c r="L21" i="10"/>
  <c r="G19" i="16"/>
  <c r="E18" i="16"/>
  <c r="O28" i="10"/>
  <c r="E34" i="10"/>
  <c r="L35" i="16"/>
  <c r="K13" i="16"/>
  <c r="D34" i="9"/>
  <c r="D14" i="10" s="1"/>
  <c r="P14" i="10" s="1"/>
  <c r="J14" i="1"/>
  <c r="J25" i="1" s="1"/>
  <c r="L44" i="9"/>
  <c r="E16" i="16"/>
  <c r="J27" i="9"/>
  <c r="I14" i="16"/>
  <c r="E17" i="16"/>
  <c r="Q30" i="20"/>
  <c r="Q32" i="20" s="1"/>
  <c r="Q26" i="20"/>
  <c r="E34" i="17"/>
  <c r="E37" i="17" s="1"/>
  <c r="E55" i="17" s="1"/>
  <c r="E43" i="17"/>
  <c r="E49" i="17" s="1"/>
  <c r="F34" i="17"/>
  <c r="F43" i="17"/>
  <c r="F49" i="17" s="1"/>
  <c r="D34" i="17"/>
  <c r="D37" i="17" s="1"/>
  <c r="G34" i="17"/>
  <c r="G43" i="17"/>
  <c r="G49" i="17" s="1"/>
  <c r="G36" i="12"/>
  <c r="M32" i="12" s="1"/>
  <c r="M34" i="12" s="1"/>
  <c r="F72" i="9"/>
  <c r="E41" i="16" s="1"/>
  <c r="D72" i="9"/>
  <c r="C41" i="16" s="1"/>
  <c r="K111" i="9"/>
  <c r="M111" i="9"/>
  <c r="J111" i="9"/>
  <c r="I111" i="9"/>
  <c r="L72" i="9"/>
  <c r="L111" i="9"/>
  <c r="H111" i="9"/>
  <c r="G111" i="9"/>
  <c r="F111" i="9"/>
  <c r="E111" i="9"/>
  <c r="D111" i="9"/>
  <c r="M72" i="9"/>
  <c r="L38" i="16" s="1"/>
  <c r="H72" i="9"/>
  <c r="H39" i="10" s="1"/>
  <c r="J72" i="9"/>
  <c r="D14" i="1"/>
  <c r="M6" i="1"/>
  <c r="M10" i="1" s="1"/>
  <c r="M12" i="1" s="1"/>
  <c r="M13" i="1" s="1"/>
  <c r="J74" i="9" l="1"/>
  <c r="I43" i="16"/>
  <c r="I32" i="16"/>
  <c r="I34" i="16"/>
  <c r="I33" i="16"/>
  <c r="I38" i="16"/>
  <c r="I40" i="16"/>
  <c r="I39" i="16"/>
  <c r="O8" i="10"/>
  <c r="P8" i="10"/>
  <c r="D12" i="10"/>
  <c r="D19" i="10"/>
  <c r="O29" i="10"/>
  <c r="F13" i="16"/>
  <c r="G6" i="10"/>
  <c r="G22" i="9"/>
  <c r="O27" i="10"/>
  <c r="P31" i="10"/>
  <c r="L41" i="16"/>
  <c r="F39" i="10"/>
  <c r="O35" i="10"/>
  <c r="E65" i="9"/>
  <c r="M39" i="10"/>
  <c r="H24" i="1"/>
  <c r="O30" i="10"/>
  <c r="D6" i="11"/>
  <c r="D5" i="11"/>
  <c r="D13" i="11"/>
  <c r="D9" i="11"/>
  <c r="E9" i="11" s="1"/>
  <c r="D12" i="11"/>
  <c r="E12" i="11" s="1"/>
  <c r="D8" i="11"/>
  <c r="D7" i="11"/>
  <c r="E7" i="11" s="1"/>
  <c r="D4" i="11"/>
  <c r="D11" i="11"/>
  <c r="D10" i="11"/>
  <c r="I35" i="16"/>
  <c r="I41" i="16"/>
  <c r="J39" i="10"/>
  <c r="B17" i="11"/>
  <c r="D16" i="11"/>
  <c r="O36" i="10"/>
  <c r="P40" i="10"/>
  <c r="H74" i="9"/>
  <c r="G43" i="16"/>
  <c r="G39" i="16"/>
  <c r="G34" i="16"/>
  <c r="G32" i="16"/>
  <c r="G33" i="16"/>
  <c r="G40" i="16"/>
  <c r="G38" i="16"/>
  <c r="D74" i="9"/>
  <c r="C43" i="16"/>
  <c r="C39" i="16"/>
  <c r="C35" i="16"/>
  <c r="C34" i="16"/>
  <c r="C33" i="16"/>
  <c r="C32" i="16"/>
  <c r="C38" i="16"/>
  <c r="M74" i="9"/>
  <c r="L43" i="16"/>
  <c r="L34" i="16"/>
  <c r="L39" i="16"/>
  <c r="L32" i="16"/>
  <c r="L33" i="16"/>
  <c r="L40" i="16"/>
  <c r="F74" i="9"/>
  <c r="E43" i="16"/>
  <c r="E38" i="16"/>
  <c r="E40" i="16"/>
  <c r="E39" i="16"/>
  <c r="E35" i="16"/>
  <c r="E34" i="16"/>
  <c r="E33" i="16"/>
  <c r="E32" i="16"/>
  <c r="E50" i="17"/>
  <c r="E56" i="17" s="1"/>
  <c r="E58" i="17" s="1"/>
  <c r="O34" i="10"/>
  <c r="G41" i="16"/>
  <c r="I36" i="16"/>
  <c r="O31" i="10"/>
  <c r="F15" i="16"/>
  <c r="J7" i="19"/>
  <c r="F45" i="17"/>
  <c r="F47" i="17" s="1"/>
  <c r="F50" i="17" s="1"/>
  <c r="F35" i="17"/>
  <c r="F37" i="17" s="1"/>
  <c r="F55" i="17" s="1"/>
  <c r="G21" i="10"/>
  <c r="O21" i="10" s="1"/>
  <c r="G25" i="10"/>
  <c r="G7" i="10"/>
  <c r="O7" i="10" s="1"/>
  <c r="G28" i="9"/>
  <c r="G13" i="10" s="1"/>
  <c r="G35" i="16"/>
  <c r="I65" i="9"/>
  <c r="F45" i="9"/>
  <c r="F48" i="9"/>
  <c r="F50" i="9" s="1"/>
  <c r="F22" i="10" s="1"/>
  <c r="E36" i="16"/>
  <c r="C36" i="16"/>
  <c r="I13" i="16"/>
  <c r="K6" i="10"/>
  <c r="J6" i="10"/>
  <c r="G65" i="9"/>
  <c r="D34" i="10"/>
  <c r="P34" i="10" s="1"/>
  <c r="P28" i="10"/>
  <c r="M15" i="1"/>
  <c r="L74" i="9"/>
  <c r="K43" i="16"/>
  <c r="K39" i="16"/>
  <c r="K34" i="16"/>
  <c r="K38" i="16"/>
  <c r="K40" i="16"/>
  <c r="K32" i="16"/>
  <c r="K33" i="16"/>
  <c r="D16" i="9"/>
  <c r="D11" i="10" s="1"/>
  <c r="C11" i="16"/>
  <c r="P21" i="10"/>
  <c r="K36" i="16"/>
  <c r="E14" i="1"/>
  <c r="I25" i="1" s="1"/>
  <c r="G44" i="9"/>
  <c r="J22" i="9"/>
  <c r="I6" i="10"/>
  <c r="H13" i="16"/>
  <c r="I22" i="9"/>
  <c r="G15" i="16"/>
  <c r="G45" i="17"/>
  <c r="G47" i="17" s="1"/>
  <c r="G50" i="17" s="1"/>
  <c r="G56" i="17" s="1"/>
  <c r="G35" i="17"/>
  <c r="G37" i="17" s="1"/>
  <c r="G55" i="17" s="1"/>
  <c r="H25" i="10"/>
  <c r="P25" i="10" s="1"/>
  <c r="H21" i="10"/>
  <c r="H28" i="9"/>
  <c r="H13" i="10" s="1"/>
  <c r="H7" i="10"/>
  <c r="J24" i="1"/>
  <c r="P27" i="10"/>
  <c r="D33" i="10"/>
  <c r="P33" i="10" s="1"/>
  <c r="L36" i="16"/>
  <c r="I15" i="16"/>
  <c r="J25" i="10"/>
  <c r="J21" i="10"/>
  <c r="J28" i="9"/>
  <c r="J13" i="10" s="1"/>
  <c r="P13" i="10" s="1"/>
  <c r="K7" i="10"/>
  <c r="J7" i="10"/>
  <c r="H25" i="1"/>
  <c r="N25" i="1" s="1"/>
  <c r="N14" i="1" s="1"/>
  <c r="L48" i="9"/>
  <c r="M45" i="9"/>
  <c r="L50" i="9"/>
  <c r="L22" i="10" s="1"/>
  <c r="L24" i="10" s="1"/>
  <c r="L45" i="9"/>
  <c r="K35" i="16"/>
  <c r="H16" i="9"/>
  <c r="H11" i="10" s="1"/>
  <c r="O11" i="10" s="1"/>
  <c r="G11" i="16"/>
  <c r="P38" i="10"/>
  <c r="O40" i="10"/>
  <c r="G13" i="16"/>
  <c r="H6" i="10"/>
  <c r="H22" i="9"/>
  <c r="L39" i="10"/>
  <c r="P18" i="10"/>
  <c r="D35" i="10"/>
  <c r="P35" i="10" s="1"/>
  <c r="P29" i="10"/>
  <c r="D39" i="10"/>
  <c r="O38" i="10"/>
  <c r="K65" i="9"/>
  <c r="I24" i="1"/>
  <c r="O33" i="10"/>
  <c r="P30" i="10"/>
  <c r="D36" i="10"/>
  <c r="P36" i="10" s="1"/>
  <c r="M5" i="1"/>
  <c r="F56" i="17" l="1"/>
  <c r="F58" i="17" s="1"/>
  <c r="G58" i="17"/>
  <c r="F24" i="10"/>
  <c r="P22" i="10"/>
  <c r="G12" i="10"/>
  <c r="G19" i="10"/>
  <c r="G72" i="9"/>
  <c r="D17" i="11"/>
  <c r="E17" i="11" s="1"/>
  <c r="B18" i="11"/>
  <c r="D18" i="11" s="1"/>
  <c r="N24" i="1"/>
  <c r="N6" i="1" s="1"/>
  <c r="O6" i="10"/>
  <c r="P6" i="10"/>
  <c r="O25" i="10"/>
  <c r="E8" i="11"/>
  <c r="P7" i="10"/>
  <c r="G45" i="9"/>
  <c r="G48" i="9"/>
  <c r="G50" i="9" s="1"/>
  <c r="G22" i="10" s="1"/>
  <c r="G24" i="10" s="1"/>
  <c r="H45" i="9"/>
  <c r="D14" i="11"/>
  <c r="E14" i="11" s="1"/>
  <c r="D15" i="11"/>
  <c r="E15" i="11" s="1"/>
  <c r="I12" i="10"/>
  <c r="I19" i="10"/>
  <c r="E72" i="9"/>
  <c r="D36" i="16" s="1"/>
  <c r="P11" i="10"/>
  <c r="H36" i="16"/>
  <c r="I72" i="9"/>
  <c r="J11" i="19"/>
  <c r="E13" i="11"/>
  <c r="P12" i="10"/>
  <c r="H12" i="10"/>
  <c r="H19" i="10"/>
  <c r="J36" i="16"/>
  <c r="K72" i="9"/>
  <c r="J12" i="10"/>
  <c r="J19" i="10"/>
  <c r="P19" i="10" s="1"/>
  <c r="E10" i="11"/>
  <c r="E5" i="11"/>
  <c r="O13" i="10"/>
  <c r="E11" i="11"/>
  <c r="E6" i="11"/>
  <c r="C23" i="19" l="1"/>
  <c r="K7" i="19" s="1"/>
  <c r="L7" i="19" s="1"/>
  <c r="E18" i="11"/>
  <c r="O22" i="10"/>
  <c r="P24" i="10"/>
  <c r="O24" i="10"/>
  <c r="G74" i="9"/>
  <c r="F43" i="16"/>
  <c r="F33" i="16"/>
  <c r="F39" i="16"/>
  <c r="F40" i="16"/>
  <c r="F32" i="16"/>
  <c r="F34" i="16"/>
  <c r="F41" i="16"/>
  <c r="G39" i="10"/>
  <c r="F38" i="16"/>
  <c r="F35" i="16"/>
  <c r="F36" i="16"/>
  <c r="N5" i="1"/>
  <c r="N10" i="1"/>
  <c r="N12" i="1" s="1"/>
  <c r="N13" i="1" s="1"/>
  <c r="N15" i="1" s="1"/>
  <c r="E74" i="9"/>
  <c r="D43" i="16"/>
  <c r="D33" i="16"/>
  <c r="D34" i="16"/>
  <c r="D39" i="16"/>
  <c r="D32" i="16"/>
  <c r="D40" i="16"/>
  <c r="D38" i="16"/>
  <c r="E39" i="10"/>
  <c r="D41" i="16"/>
  <c r="D35" i="16"/>
  <c r="K74" i="9"/>
  <c r="J43" i="16"/>
  <c r="J34" i="16"/>
  <c r="J39" i="16"/>
  <c r="J33" i="16"/>
  <c r="J32" i="16"/>
  <c r="J40" i="16"/>
  <c r="J38" i="16"/>
  <c r="J41" i="16"/>
  <c r="K39" i="10"/>
  <c r="J35" i="16"/>
  <c r="E16" i="11"/>
  <c r="H13" i="19"/>
  <c r="H15" i="19" s="1"/>
  <c r="G13" i="19"/>
  <c r="G15" i="19" s="1"/>
  <c r="I13" i="19"/>
  <c r="I15" i="19" s="1"/>
  <c r="J13" i="19"/>
  <c r="J15" i="19" s="1"/>
  <c r="K13" i="19"/>
  <c r="L13" i="19"/>
  <c r="M13" i="19"/>
  <c r="N13" i="19"/>
  <c r="O13" i="19"/>
  <c r="O19" i="10"/>
  <c r="I74" i="9"/>
  <c r="H43" i="16"/>
  <c r="H34" i="16"/>
  <c r="H32" i="16"/>
  <c r="H40" i="16"/>
  <c r="H33" i="16"/>
  <c r="H39" i="16"/>
  <c r="I39" i="10"/>
  <c r="H38" i="16"/>
  <c r="H41" i="16"/>
  <c r="H35" i="16"/>
  <c r="O12" i="10"/>
  <c r="K11" i="19" l="1"/>
  <c r="K15" i="19" s="1"/>
  <c r="O39" i="10"/>
  <c r="P39" i="10"/>
  <c r="M7" i="19"/>
  <c r="L11" i="19"/>
  <c r="L15" i="19" s="1"/>
  <c r="N7" i="19" l="1"/>
  <c r="M11" i="19"/>
  <c r="M15" i="19" s="1"/>
  <c r="O7" i="19" l="1"/>
  <c r="O11" i="19" s="1"/>
  <c r="O15" i="19" s="1"/>
  <c r="E28" i="19" s="1"/>
  <c r="N11" i="19"/>
  <c r="N15" i="19" s="1"/>
  <c r="M19" i="19" l="1"/>
  <c r="M21" i="19" s="1"/>
  <c r="K19" i="19"/>
  <c r="K21" i="19" s="1"/>
  <c r="N19" i="19"/>
  <c r="N21" i="19" s="1"/>
  <c r="L19" i="19"/>
  <c r="L21" i="19" s="1"/>
  <c r="O19" i="19"/>
  <c r="O21" i="19" s="1"/>
  <c r="E36" i="19" l="1"/>
  <c r="E32" i="19"/>
  <c r="E37" i="19" l="1"/>
  <c r="E38" i="19" s="1"/>
  <c r="E42" i="19" s="1"/>
  <c r="E45" i="19" s="1"/>
  <c r="E48" i="19" s="1"/>
</calcChain>
</file>

<file path=xl/sharedStrings.xml><?xml version="1.0" encoding="utf-8"?>
<sst xmlns="http://schemas.openxmlformats.org/spreadsheetml/2006/main" count="572" uniqueCount="375">
  <si>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</si>
  <si>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</si>
  <si>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</si>
  <si>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</si>
  <si>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</si>
  <si>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</si>
  <si>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</si>
  <si>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</si>
  <si>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</si>
  <si>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</si>
  <si>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</si>
  <si>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</si>
  <si>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</si>
  <si>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</si>
  <si>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</si>
  <si>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</si>
  <si>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</si>
  <si>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</si>
  <si>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</si>
  <si>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</si>
  <si>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</si>
  <si>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</si>
  <si>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</si>
  <si>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</si>
  <si>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</si>
  <si>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</si>
  <si>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</si>
  <si>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</si>
  <si>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</si>
  <si>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</si>
  <si>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</si>
  <si>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</si>
  <si>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</si>
  <si>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</si>
  <si>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</si>
  <si>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</si>
  <si>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</si>
  <si>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</si>
  <si>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</si>
  <si>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</si>
  <si>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</si>
  <si>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</si>
  <si>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</si>
  <si>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</si>
  <si>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</si>
  <si>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</si>
  <si>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</si>
  <si>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</si>
  <si>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</si>
  <si>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</si>
  <si>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</si>
  <si>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</si>
  <si>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</si>
  <si>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</si>
  <si>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ASIAN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</si>
  <si>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</si>
  <si>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</si>
  <si>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</si>
  <si>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</si>
  <si>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</si>
  <si>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</si>
  <si>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</si>
  <si>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</si>
  <si>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</si>
  <si>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</si>
  <si>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</si>
  <si>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</si>
  <si>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</si>
  <si>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</si>
  <si>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</si>
  <si>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</si>
  <si>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</si>
  <si>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</si>
  <si>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</si>
  <si>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</si>
  <si>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</si>
  <si>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</si>
  <si>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</si>
  <si>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</si>
  <si>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</si>
  <si>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</si>
  <si>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</si>
  <si>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#</t>
  </si>
  <si>
    <t>-</t>
  </si>
  <si>
    <t>EBT</t>
  </si>
  <si>
    <t>EBIT</t>
  </si>
  <si>
    <t>EBITDA</t>
  </si>
  <si>
    <t>EBITDA Margin</t>
  </si>
  <si>
    <t>EBIT Margin</t>
  </si>
  <si>
    <t>Interest as % of Sales</t>
  </si>
  <si>
    <t>EBT Margin</t>
  </si>
  <si>
    <t>Effective Tax Rate</t>
  </si>
  <si>
    <t>Net Profit</t>
  </si>
  <si>
    <t>Profit Margin</t>
  </si>
  <si>
    <t>No of Equity Shares</t>
  </si>
  <si>
    <t>EPS Growth</t>
  </si>
  <si>
    <t>Earnings Per Share</t>
  </si>
  <si>
    <t>Divident Per Share</t>
  </si>
  <si>
    <t>Retained Earnings</t>
  </si>
  <si>
    <t>Divident Payout Ratio</t>
  </si>
  <si>
    <t>Total Liabilities</t>
  </si>
  <si>
    <t>Total Current Assets (B)</t>
  </si>
  <si>
    <t>Total Non-Current Assets (A)</t>
  </si>
  <si>
    <t>Total Assets (A)+(B)</t>
  </si>
  <si>
    <t>Check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</si>
  <si>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</si>
  <si>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</si>
  <si>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</si>
  <si>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</si>
  <si>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</si>
  <si>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</si>
  <si>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</si>
  <si>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</si>
  <si>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</si>
  <si>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</si>
  <si>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</si>
  <si>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</si>
  <si>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</si>
  <si>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</si>
  <si>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</si>
  <si>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</si>
  <si>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</si>
  <si>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</si>
  <si>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</si>
  <si>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</si>
  <si>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</si>
  <si>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</si>
  <si>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r>
      <t>Cash from Operating Activity </t>
    </r>
    <r>
      <rPr>
        <sz val="11"/>
        <color rgb="FF665EFD"/>
        <rFont val="Calibri"/>
        <family val="2"/>
      </rPr>
      <t>-</t>
    </r>
  </si>
  <si>
    <r>
      <t>Cash from Investing Activity </t>
    </r>
    <r>
      <rPr>
        <sz val="11"/>
        <color rgb="FF665EFD"/>
        <rFont val="Calibri"/>
        <family val="2"/>
      </rPr>
      <t>-</t>
    </r>
  </si>
  <si>
    <r>
      <t>Cash from Financing Activity </t>
    </r>
    <r>
      <rPr>
        <sz val="11"/>
        <color rgb="FF665EFD"/>
        <rFont val="Calibri"/>
        <family val="2"/>
      </rPr>
      <t>-</t>
    </r>
  </si>
  <si>
    <t>Operating Activity </t>
  </si>
  <si>
    <t>Cash From Operating Activity </t>
  </si>
  <si>
    <t>Investing Activity </t>
  </si>
  <si>
    <t>Cash From Investing Activity </t>
  </si>
  <si>
    <t>Financing Activity </t>
  </si>
  <si>
    <t>COGS</t>
  </si>
  <si>
    <t>COGS as % of Sales</t>
  </si>
  <si>
    <t xml:space="preserve">Gross Profit </t>
  </si>
  <si>
    <t xml:space="preserve">Gross Margin </t>
  </si>
  <si>
    <t>S&amp;A Expenses as % of Sales</t>
  </si>
  <si>
    <t>Gross Margin</t>
  </si>
  <si>
    <t>EBITDA Growth</t>
  </si>
  <si>
    <t>EBIT Growth</t>
  </si>
  <si>
    <t>Dividend Growth</t>
  </si>
  <si>
    <t>Net Profit Growth</t>
  </si>
  <si>
    <t>Net Profit Margin</t>
  </si>
  <si>
    <t>Sales Expenses as % of Sales</t>
  </si>
  <si>
    <t>Depriciation as % of Sales</t>
  </si>
  <si>
    <t>Operating Income as % of Sales</t>
  </si>
  <si>
    <t>Return on capital employed</t>
  </si>
  <si>
    <t>Retained Earnings %</t>
  </si>
  <si>
    <t>Return on Equity 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</si>
  <si>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</si>
  <si>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</si>
  <si>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</si>
  <si>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</si>
  <si>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</si>
  <si>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</si>
  <si>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</si>
  <si>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S&amp;G Expenses</t>
  </si>
  <si>
    <t>Depriciation</t>
  </si>
  <si>
    <t>Depriciation as % of sales</t>
  </si>
  <si>
    <t>Payable Days</t>
  </si>
  <si>
    <t>Inventory Days</t>
  </si>
  <si>
    <t>CFO/Sales</t>
  </si>
  <si>
    <t>CFO/Total Assets</t>
  </si>
  <si>
    <t>CFO/Total Debt</t>
  </si>
  <si>
    <t>Trend</t>
  </si>
  <si>
    <t>Mean</t>
  </si>
  <si>
    <t>Median</t>
  </si>
  <si>
    <t>Cash Conversion Cycle (Days)</t>
  </si>
  <si>
    <t>Year Weight</t>
  </si>
  <si>
    <t>WACC</t>
  </si>
  <si>
    <t>All figures in inr crores unless stated otherwise</t>
  </si>
  <si>
    <t>Peer Comps</t>
  </si>
  <si>
    <t>Name of the company</t>
  </si>
  <si>
    <t>Country</t>
  </si>
  <si>
    <t>Total Debt</t>
  </si>
  <si>
    <t>Total Equity</t>
  </si>
  <si>
    <t>Debt/</t>
  </si>
  <si>
    <t>Equity</t>
  </si>
  <si>
    <t>Capital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</si>
  <si>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</si>
  <si>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>Levered Beta</t>
  </si>
  <si>
    <r>
      <t>Unlevered Beta</t>
    </r>
    <r>
      <rPr>
        <vertAlign val="superscript"/>
        <sz val="11"/>
        <color theme="1"/>
        <rFont val="Calibri"/>
        <family val="2"/>
        <scheme val="minor"/>
      </rPr>
      <t xml:space="preserve"> 3</t>
    </r>
  </si>
  <si>
    <r>
      <t>Levered Beta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</si>
  <si>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t>Berger Paints</t>
  </si>
  <si>
    <t>India</t>
  </si>
  <si>
    <t>Indigo Paints</t>
  </si>
  <si>
    <t>Shalimar Paints</t>
  </si>
  <si>
    <t>Kansai Nerolac Paints</t>
  </si>
  <si>
    <t>Cost of Debt</t>
  </si>
  <si>
    <t>Cost of Equity</t>
  </si>
  <si>
    <t>Pre Tax Cost of Debt</t>
  </si>
  <si>
    <t>Tax Rate</t>
  </si>
  <si>
    <t>Post Tax Cost of Debt</t>
  </si>
  <si>
    <t>Risk Free Rate</t>
  </si>
  <si>
    <t>Equity Risk Premium</t>
  </si>
  <si>
    <t>Total Capital</t>
  </si>
  <si>
    <t>Current</t>
  </si>
  <si>
    <t>Target</t>
  </si>
  <si>
    <t>Debt/Equity</t>
  </si>
  <si>
    <t>Peer Comps Unlevered Beta Median</t>
  </si>
  <si>
    <t>Target D/E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</si>
  <si>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</si>
  <si>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Weighted Avg. Cost of Capital</t>
  </si>
  <si>
    <t>Average</t>
  </si>
  <si>
    <t>Weighted Average Cost of Capital</t>
  </si>
  <si>
    <t>Notes:</t>
  </si>
  <si>
    <t>1. Tax Rate is marginal tax rate for the country</t>
  </si>
  <si>
    <t>2. Levered Beta = Unlevered beta/(1+(1 - Tax rate)* Debt/Equity</t>
  </si>
  <si>
    <t>3. Unlevered Beta = Levered beta*(1+(1 - Tax rate)* Debt/Equity</t>
  </si>
  <si>
    <t>Date</t>
  </si>
  <si>
    <t>Closing Price</t>
  </si>
  <si>
    <t>Returns</t>
  </si>
  <si>
    <t>Beta</t>
  </si>
  <si>
    <t>Nifty 2 Year Weekly Returns</t>
  </si>
  <si>
    <t>Berger Paints 2 Year Weekly Returns</t>
  </si>
  <si>
    <t>Indigo Paints 2 Year Weekly Returns</t>
  </si>
  <si>
    <t>Sirca Paints</t>
  </si>
  <si>
    <t xml:space="preserve"> Sirca Paints 2 Year Weekly Returns</t>
  </si>
  <si>
    <t>Shalimar Paints 2 Year Weekly Returns</t>
  </si>
  <si>
    <t>Kansai Nerolac 2 Year Weekly Returns</t>
  </si>
  <si>
    <t>Beta of companies with respect to Nifty</t>
  </si>
  <si>
    <t>Asian Paints</t>
  </si>
  <si>
    <t>Companies</t>
  </si>
  <si>
    <t>Beta Drifting</t>
  </si>
  <si>
    <t>Levered Raw Beta</t>
  </si>
  <si>
    <t>Beta Weight</t>
  </si>
  <si>
    <t>Market Beta</t>
  </si>
  <si>
    <t>Market Beta Weight</t>
  </si>
  <si>
    <t>Adjusted Beta</t>
  </si>
  <si>
    <t>Year</t>
  </si>
  <si>
    <t>Annual</t>
  </si>
  <si>
    <t>Annually Returns</t>
  </si>
  <si>
    <t>Average Return</t>
  </si>
  <si>
    <t>Dividend Yield</t>
  </si>
  <si>
    <t>Total Market Return</t>
  </si>
  <si>
    <r>
      <t xml:space="preserve">1.38% </t>
    </r>
    <r>
      <rPr>
        <vertAlign val="superscript"/>
        <sz val="11"/>
        <color theme="1"/>
        <rFont val="Calibri"/>
        <family val="2"/>
        <scheme val="minor"/>
      </rPr>
      <t>1</t>
    </r>
  </si>
  <si>
    <t>Weight of Debt</t>
  </si>
  <si>
    <t>Weight of Equity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</si>
  <si>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</si>
  <si>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</si>
  <si>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</si>
  <si>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</si>
  <si>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</si>
  <si>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</si>
  <si>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</si>
  <si>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</si>
  <si>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</si>
  <si>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</si>
  <si>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</si>
  <si>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</si>
  <si>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</si>
  <si>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</si>
  <si>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</si>
  <si>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</si>
  <si>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</si>
  <si>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</si>
  <si>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</si>
  <si>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</si>
  <si>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</si>
  <si>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</si>
  <si>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</si>
  <si>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</si>
  <si>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</si>
  <si>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</si>
  <si>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</si>
  <si>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</si>
  <si>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</si>
  <si>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</si>
  <si>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Total Assets</t>
  </si>
  <si>
    <t xml:space="preserve">Nifty-50 </t>
  </si>
  <si>
    <t xml:space="preserve">Current Assets - </t>
  </si>
  <si>
    <t>Total Current Assets</t>
  </si>
  <si>
    <t xml:space="preserve">Current Liabilities - </t>
  </si>
  <si>
    <t>Total Current Liabilities</t>
  </si>
  <si>
    <t>Net Working Capital</t>
  </si>
  <si>
    <t xml:space="preserve">Non-Current Assets - </t>
  </si>
  <si>
    <t>Invested Capital</t>
  </si>
  <si>
    <t>ROIC</t>
  </si>
  <si>
    <t>Cash from Operating Activity -</t>
  </si>
  <si>
    <t>Cash from Investing Activity -</t>
  </si>
  <si>
    <t>Cash from Financing Activity -</t>
  </si>
  <si>
    <t>Cashflow Statement</t>
  </si>
  <si>
    <t>Net Capex</t>
  </si>
  <si>
    <t>Change in Working Capital</t>
  </si>
  <si>
    <t>Marginal Tax Rate</t>
  </si>
  <si>
    <t>EBIT*(1-T)</t>
  </si>
  <si>
    <t>Reinvestment</t>
  </si>
  <si>
    <t>Reinvestment Rate</t>
  </si>
  <si>
    <t>4 Year Average</t>
  </si>
  <si>
    <t>4 Year Median</t>
  </si>
  <si>
    <t>Intrinsic Growth</t>
  </si>
  <si>
    <t>Calculating PV of FCFF</t>
  </si>
  <si>
    <t>Less: Reinvestment Rate</t>
  </si>
  <si>
    <t>Free Cash Flow to Firm (FCFF)</t>
  </si>
  <si>
    <t>Mid Year Convention</t>
  </si>
  <si>
    <t>Discounting Factor</t>
  </si>
  <si>
    <t>PV of FCFF</t>
  </si>
  <si>
    <t>Terminal Value</t>
  </si>
  <si>
    <t>Calculating Terminal Value</t>
  </si>
  <si>
    <t>FCFF (n+1)</t>
  </si>
  <si>
    <t>Calculating Equity Value Per Share</t>
  </si>
  <si>
    <t>PV of Terminal Value</t>
  </si>
  <si>
    <t>Enterprise Value</t>
  </si>
  <si>
    <t>Less: Debt</t>
  </si>
  <si>
    <t>Add: Cash</t>
  </si>
  <si>
    <t>Equity Value</t>
  </si>
  <si>
    <t>No. of Shares</t>
  </si>
  <si>
    <t>Equity Value per Share</t>
  </si>
  <si>
    <t>Share Price</t>
  </si>
  <si>
    <t>Discount/Premium</t>
  </si>
  <si>
    <t>Comparable Companies Valuation</t>
  </si>
  <si>
    <t>Company</t>
  </si>
  <si>
    <t>Ticker</t>
  </si>
  <si>
    <t>Net Debt</t>
  </si>
  <si>
    <t xml:space="preserve">Share Price </t>
  </si>
  <si>
    <t>Shares Outstaning</t>
  </si>
  <si>
    <t>Equit Value</t>
  </si>
  <si>
    <t>Revenue</t>
  </si>
  <si>
    <t>Net Income</t>
  </si>
  <si>
    <t>EV/ Revnue</t>
  </si>
  <si>
    <t>EV/ EBITDA</t>
  </si>
  <si>
    <t>P/E</t>
  </si>
  <si>
    <t>Market Data</t>
  </si>
  <si>
    <t>Financials</t>
  </si>
  <si>
    <t>Valuation</t>
  </si>
  <si>
    <t>Kansai Nerolac</t>
  </si>
  <si>
    <t>Akzo Nobel</t>
  </si>
  <si>
    <t>Kamdhenu Venture</t>
  </si>
  <si>
    <t>Siddhika Coatins</t>
  </si>
  <si>
    <t>Retina Paints</t>
  </si>
  <si>
    <t>S.No.</t>
  </si>
  <si>
    <t>Name</t>
  </si>
  <si>
    <t>CMP Rs.</t>
  </si>
  <si>
    <t>No. Eq. Shares Cr.</t>
  </si>
  <si>
    <t>Debt Rs.Cr.</t>
  </si>
  <si>
    <t>Cash End Rs.Cr.</t>
  </si>
  <si>
    <t>EV Rs.Cr.</t>
  </si>
  <si>
    <t>Sales Rs.Cr.</t>
  </si>
  <si>
    <t>EV / EBITDA</t>
  </si>
  <si>
    <t>NP 12M Rs.Cr.</t>
  </si>
  <si>
    <t xml:space="preserve">Mar Cap Rs.Cr. </t>
  </si>
  <si>
    <t>ASIANPAINT</t>
  </si>
  <si>
    <t>BERGEPAINT</t>
  </si>
  <si>
    <t>KANSAINER</t>
  </si>
  <si>
    <t>AKZOINDIA</t>
  </si>
  <si>
    <t> INDIGOPNTS</t>
  </si>
  <si>
    <t> SIRCA</t>
  </si>
  <si>
    <t>SHALPAINTS</t>
  </si>
  <si>
    <t>KAMOPAINTS</t>
  </si>
  <si>
    <t>SIDDHIKA</t>
  </si>
  <si>
    <t>High</t>
  </si>
  <si>
    <t>75th Percentile</t>
  </si>
  <si>
    <t>25th Percentile</t>
  </si>
  <si>
    <t>Low</t>
  </si>
  <si>
    <t>Implied Enterprise Value</t>
  </si>
  <si>
    <t>Debt</t>
  </si>
  <si>
    <t>Implied Market Value</t>
  </si>
  <si>
    <t>Shares Outstanding</t>
  </si>
  <si>
    <t>Implied Market Value Per Share</t>
  </si>
  <si>
    <t>Football Field Analysis</t>
  </si>
  <si>
    <t>Open Low</t>
  </si>
  <si>
    <t>Open High</t>
  </si>
  <si>
    <t>Comps</t>
  </si>
  <si>
    <t>Bear Case</t>
  </si>
  <si>
    <t>Base Case</t>
  </si>
  <si>
    <t>Bull Case</t>
  </si>
  <si>
    <t>52W H/L</t>
  </si>
  <si>
    <t>Data Table -</t>
  </si>
  <si>
    <t>Peer Comps Beta Median</t>
  </si>
  <si>
    <t>Expected Growth Rate</t>
  </si>
  <si>
    <t>Terminal Growth Rate</t>
  </si>
  <si>
    <t>Net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</si>
</sst>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_ * #,##0_ ;_ * \-#,##0_ ;_ * &quot;-&quot;??_ ;_ @_ "/>
    <numFmt numFmtId="167" formatCode="&quot;₹&quot;\ #,##0;\(&quot;₹&quot;\ #,##0\);\-"/>
    <numFmt numFmtId="168" formatCode="0%;\(0%\);\-"/>
    <numFmt numFmtId="169" formatCode="0.00%;\(0.00%\);\-"/>
    <numFmt numFmtId="170" formatCode="0&quot;x&quot;"/>
    <numFmt numFmtId="171" formatCode="yyyy&quot;A&quot;"/>
    <numFmt numFmtId="172" formatCode="yyyy&quot;E&quot;"/>
    <numFmt numFmtId="173" formatCode="#,##0.0;\(#,##0.0\);\-"/>
    <numFmt numFmtId="174" formatCode="#,##0;\(#,##0\);\-"/>
    <numFmt numFmtId="175" formatCode="mmm/yy\A"/>
    <numFmt numFmtId="176" formatCode="mmm/yy&quot;E&quot;"/>
    <numFmt numFmtId="177" formatCode="\ #,##0;\(\ #,##0\);\-"/>
    <numFmt numFmtId="178" formatCode="0.0\x"/>
    <numFmt numFmtId="179" formatCode="#,##0;\(#,##0\)"/>
    <numFmt numFmtId="180" formatCode="#,##0.00;\(#,##0.00\)"/>
    <numFmt numFmtId="181" formatCode="0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22222F"/>
      <name val="Calibri"/>
      <family val="2"/>
    </font>
    <font>
      <b/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b/>
      <sz val="11"/>
      <color rgb="FF22222F"/>
      <name val="Calibri"/>
      <family val="2"/>
    </font>
    <font>
      <i/>
      <sz val="11"/>
      <color theme="0" tint="-0.499984740745262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Calibri"/>
      <family val="2"/>
    </font>
    <font>
      <sz val="11"/>
      <color rgb="FF665EFD"/>
      <name val="Calibri"/>
      <family val="2"/>
    </font>
    <font>
      <b/>
      <sz val="2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3333FF"/>
      <name val="Calibri"/>
      <family val="2"/>
    </font>
    <font>
      <i/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774C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FF7030A0"/>
      </top>
      <bottom style="medium">
        <color rgb="FF7030A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rgb="FF7030A0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rgb="FF774C96"/>
      </top>
      <bottom/>
      <diagonal/>
    </border>
    <border>
      <left/>
      <right/>
      <top style="thin">
        <color rgb="FF774C96"/>
      </top>
      <bottom style="medium">
        <color rgb="FF774C96"/>
      </bottom>
      <diagonal/>
    </border>
    <border>
      <left/>
      <right/>
      <top style="thin">
        <color rgb="FF774C96"/>
      </top>
      <bottom/>
      <diagonal/>
    </border>
    <border>
      <left/>
      <right/>
      <top style="medium">
        <color rgb="FF774C96"/>
      </top>
      <bottom style="thick">
        <color rgb="FF774C96"/>
      </bottom>
      <diagonal/>
    </border>
    <border>
      <left/>
      <right/>
      <top style="thin">
        <color rgb="FF774C96"/>
      </top>
      <bottom style="thin">
        <color rgb="FF774C96"/>
      </bottom>
      <diagonal/>
    </border>
    <border>
      <left/>
      <right/>
      <top/>
      <bottom style="thin">
        <color rgb="FF774C96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rgb="FF774C96"/>
      </top>
      <bottom/>
      <diagonal/>
    </border>
    <border>
      <left/>
      <right/>
      <top style="hair">
        <color rgb="FF774C96"/>
      </top>
      <bottom style="hair">
        <color rgb="FF774C96"/>
      </bottom>
      <diagonal/>
    </border>
    <border>
      <left/>
      <right/>
      <top/>
      <bottom style="hair">
        <color rgb="FF774C96"/>
      </bottom>
      <diagonal/>
    </border>
    <border>
      <left/>
      <right style="thin">
        <color rgb="FF774C96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9" fontId="5" fillId="0" borderId="0" applyFont="0" applyFill="0" applyBorder="0" applyAlignment="0" applyProtection="0"/>
  </cellStyleXfs>
  <cellXfs count="273">
    <xf numFmtId="0" fontId="0" fillId="0" borderId="0" xfId="0"/>
    <xf numFmtId="43" fontId="3" fillId="0" borderId="0" xfId="1" applyFont="1" applyBorder="1"/>
    <xf numFmtId="0" fontId="3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5" fillId="0" borderId="0" xfId="1" applyFont="1" applyBorder="1"/>
    <xf numFmtId="9" fontId="5" fillId="0" borderId="0" xfId="1" applyNumberFormat="1" applyFont="1" applyBorder="1"/>
    <xf numFmtId="43" fontId="4" fillId="2" borderId="0" xfId="3" applyNumberFormat="1" applyFont="1" applyBorder="1"/>
    <xf numFmtId="43" fontId="4" fillId="3" borderId="0" xfId="4" applyNumberFormat="1" applyFont="1" applyBorder="1"/>
    <xf numFmtId="9" fontId="3" fillId="0" borderId="0" xfId="6" applyFont="1" applyBorder="1"/>
    <xf numFmtId="0" fontId="4" fillId="5" borderId="0" xfId="0" applyFont="1" applyFill="1"/>
    <xf numFmtId="165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10" fontId="3" fillId="0" borderId="0" xfId="0" applyNumberFormat="1" applyFont="1"/>
    <xf numFmtId="165" fontId="4" fillId="5" borderId="0" xfId="1" applyNumberFormat="1" applyFont="1" applyFill="1" applyBorder="1"/>
    <xf numFmtId="165" fontId="9" fillId="0" borderId="0" xfId="1" applyNumberFormat="1" applyFont="1" applyFill="1" applyBorder="1"/>
    <xf numFmtId="0" fontId="9" fillId="0" borderId="0" xfId="0" applyFont="1"/>
    <xf numFmtId="164" fontId="0" fillId="0" borderId="0" xfId="1" applyNumberFormat="1" applyFont="1" applyBorder="1"/>
    <xf numFmtId="0" fontId="4" fillId="6" borderId="0" xfId="0" applyFont="1" applyFill="1"/>
    <xf numFmtId="165" fontId="4" fillId="6" borderId="0" xfId="0" applyNumberFormat="1" applyFont="1" applyFill="1"/>
    <xf numFmtId="10" fontId="10" fillId="8" borderId="0" xfId="0" applyNumberFormat="1" applyFont="1" applyFill="1" applyAlignment="1">
      <alignment horizontal="right" vertical="center" wrapText="1"/>
    </xf>
    <xf numFmtId="0" fontId="10" fillId="8" borderId="0" xfId="0" applyFont="1" applyFill="1" applyAlignment="1">
      <alignment horizontal="right" vertical="center" wrapText="1"/>
    </xf>
    <xf numFmtId="3" fontId="10" fillId="7" borderId="0" xfId="0" applyNumberFormat="1" applyFont="1" applyFill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9" fontId="10" fillId="7" borderId="0" xfId="0" applyNumberFormat="1" applyFont="1" applyFill="1" applyAlignment="1">
      <alignment horizontal="right" vertical="center" wrapText="1"/>
    </xf>
    <xf numFmtId="3" fontId="10" fillId="8" borderId="0" xfId="0" applyNumberFormat="1" applyFont="1" applyFill="1" applyAlignment="1">
      <alignment horizontal="right" vertical="center" wrapText="1"/>
    </xf>
    <xf numFmtId="9" fontId="10" fillId="8" borderId="0" xfId="0" applyNumberFormat="1" applyFont="1" applyFill="1" applyAlignment="1">
      <alignment horizontal="right" vertical="center" wrapText="1"/>
    </xf>
    <xf numFmtId="0" fontId="12" fillId="8" borderId="0" xfId="0" applyFont="1" applyFill="1" applyAlignment="1">
      <alignment horizontal="left" vertical="center"/>
    </xf>
    <xf numFmtId="0" fontId="2" fillId="0" borderId="0" xfId="0" applyFont="1"/>
    <xf numFmtId="10" fontId="12" fillId="8" borderId="0" xfId="0" applyNumberFormat="1" applyFont="1" applyFill="1" applyAlignment="1">
      <alignment horizontal="right" vertical="center" wrapText="1"/>
    </xf>
    <xf numFmtId="3" fontId="12" fillId="7" borderId="0" xfId="0" applyNumberFormat="1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9" fontId="12" fillId="7" borderId="0" xfId="0" applyNumberFormat="1" applyFont="1" applyFill="1" applyAlignment="1">
      <alignment horizontal="right" vertical="center" wrapText="1"/>
    </xf>
    <xf numFmtId="0" fontId="12" fillId="7" borderId="0" xfId="0" applyFont="1" applyFill="1" applyAlignment="1">
      <alignment horizontal="left" vertical="center" indent="1"/>
    </xf>
    <xf numFmtId="0" fontId="12" fillId="8" borderId="0" xfId="0" applyFont="1" applyFill="1" applyAlignment="1">
      <alignment horizontal="left" vertical="center" indent="1"/>
    </xf>
    <xf numFmtId="0" fontId="12" fillId="8" borderId="0" xfId="0" applyFont="1" applyFill="1" applyAlignment="1">
      <alignment horizontal="right" vertical="center" wrapText="1"/>
    </xf>
    <xf numFmtId="9" fontId="11" fillId="7" borderId="0" xfId="0" applyNumberFormat="1" applyFont="1" applyFill="1" applyAlignment="1">
      <alignment horizontal="right" vertical="center" wrapText="1"/>
    </xf>
    <xf numFmtId="3" fontId="11" fillId="7" borderId="0" xfId="0" applyNumberFormat="1" applyFont="1" applyFill="1" applyAlignment="1">
      <alignment horizontal="right" vertical="center" wrapText="1"/>
    </xf>
    <xf numFmtId="3" fontId="11" fillId="8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left" indent="1"/>
    </xf>
    <xf numFmtId="3" fontId="12" fillId="7" borderId="0" xfId="0" applyNumberFormat="1" applyFont="1" applyFill="1" applyAlignment="1">
      <alignment horizontal="right" wrapText="1"/>
    </xf>
    <xf numFmtId="9" fontId="12" fillId="7" borderId="0" xfId="0" applyNumberFormat="1" applyFont="1" applyFill="1" applyAlignment="1">
      <alignment horizontal="right" wrapText="1"/>
    </xf>
    <xf numFmtId="9" fontId="11" fillId="7" borderId="0" xfId="6" applyFont="1" applyFill="1" applyAlignment="1">
      <alignment horizontal="right" vertical="center" wrapText="1"/>
    </xf>
    <xf numFmtId="1" fontId="11" fillId="7" borderId="0" xfId="0" applyNumberFormat="1" applyFont="1" applyFill="1" applyAlignment="1">
      <alignment horizontal="right" vertical="center" wrapText="1"/>
    </xf>
    <xf numFmtId="0" fontId="3" fillId="6" borderId="0" xfId="0" applyFont="1" applyFill="1"/>
    <xf numFmtId="166" fontId="3" fillId="6" borderId="0" xfId="0" applyNumberFormat="1" applyFont="1" applyFill="1" applyAlignment="1">
      <alignment horizontal="right"/>
    </xf>
    <xf numFmtId="166" fontId="3" fillId="6" borderId="0" xfId="0" applyNumberFormat="1" applyFont="1" applyFill="1" applyAlignment="1">
      <alignment horizontal="right" vertical="center" indent="1"/>
    </xf>
    <xf numFmtId="0" fontId="14" fillId="6" borderId="0" xfId="0" applyFont="1" applyFill="1"/>
    <xf numFmtId="0" fontId="13" fillId="7" borderId="0" xfId="0" applyFont="1" applyFill="1" applyAlignment="1">
      <alignment horizontal="left" vertical="center"/>
    </xf>
    <xf numFmtId="0" fontId="13" fillId="0" borderId="0" xfId="0" applyFont="1"/>
    <xf numFmtId="167" fontId="15" fillId="7" borderId="0" xfId="0" applyNumberFormat="1" applyFont="1" applyFill="1" applyAlignment="1">
      <alignment horizontal="right" vertical="center" wrapText="1"/>
    </xf>
    <xf numFmtId="0" fontId="12" fillId="7" borderId="0" xfId="0" applyFont="1" applyFill="1" applyAlignment="1">
      <alignment vertical="center"/>
    </xf>
    <xf numFmtId="0" fontId="16" fillId="7" borderId="0" xfId="0" applyFont="1" applyFill="1" applyAlignment="1">
      <alignment horizontal="left" vertical="center"/>
    </xf>
    <xf numFmtId="0" fontId="16" fillId="0" borderId="0" xfId="0" applyFont="1" applyAlignment="1">
      <alignment horizontal="left" indent="1"/>
    </xf>
    <xf numFmtId="0" fontId="13" fillId="7" borderId="0" xfId="0" applyFont="1" applyFill="1" applyAlignment="1">
      <alignment horizontal="right" vertical="center"/>
    </xf>
    <xf numFmtId="9" fontId="3" fillId="0" borderId="0" xfId="6" applyFont="1"/>
    <xf numFmtId="168" fontId="16" fillId="7" borderId="0" xfId="0" applyNumberFormat="1" applyFont="1" applyFill="1" applyAlignment="1">
      <alignment horizontal="right" wrapText="1"/>
    </xf>
    <xf numFmtId="169" fontId="16" fillId="7" borderId="0" xfId="0" applyNumberFormat="1" applyFont="1" applyFill="1" applyAlignment="1">
      <alignment horizontal="right" wrapText="1"/>
    </xf>
    <xf numFmtId="0" fontId="3" fillId="0" borderId="2" xfId="0" applyFont="1" applyBorder="1"/>
    <xf numFmtId="0" fontId="3" fillId="0" borderId="3" xfId="0" applyFont="1" applyBorder="1"/>
    <xf numFmtId="167" fontId="15" fillId="7" borderId="2" xfId="0" applyNumberFormat="1" applyFont="1" applyFill="1" applyBorder="1" applyAlignment="1">
      <alignment horizontal="right" vertical="center" wrapText="1"/>
    </xf>
    <xf numFmtId="167" fontId="15" fillId="7" borderId="3" xfId="0" applyNumberFormat="1" applyFont="1" applyFill="1" applyBorder="1" applyAlignment="1">
      <alignment horizontal="right" vertic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167" fontId="12" fillId="7" borderId="0" xfId="0" applyNumberFormat="1" applyFont="1" applyFill="1" applyAlignment="1">
      <alignment horizontal="right" vertical="center" wrapText="1"/>
    </xf>
    <xf numFmtId="0" fontId="19" fillId="8" borderId="4" xfId="0" applyFont="1" applyFill="1" applyBorder="1" applyAlignment="1">
      <alignment vertical="center"/>
    </xf>
    <xf numFmtId="3" fontId="19" fillId="8" borderId="4" xfId="0" applyNumberFormat="1" applyFont="1" applyFill="1" applyBorder="1" applyAlignment="1">
      <alignment vertical="center" wrapText="1"/>
    </xf>
    <xf numFmtId="0" fontId="19" fillId="8" borderId="4" xfId="0" applyFont="1" applyFill="1" applyBorder="1" applyAlignment="1">
      <alignment vertical="center" wrapText="1"/>
    </xf>
    <xf numFmtId="0" fontId="12" fillId="8" borderId="0" xfId="0" applyFont="1" applyFill="1" applyAlignment="1">
      <alignment vertical="center"/>
    </xf>
    <xf numFmtId="0" fontId="12" fillId="8" borderId="0" xfId="0" applyFont="1" applyFill="1" applyAlignment="1">
      <alignment vertical="center" wrapText="1"/>
    </xf>
    <xf numFmtId="3" fontId="12" fillId="8" borderId="0" xfId="0" applyNumberFormat="1" applyFont="1" applyFill="1" applyAlignment="1">
      <alignment vertical="center" wrapText="1"/>
    </xf>
    <xf numFmtId="0" fontId="19" fillId="7" borderId="4" xfId="0" applyFont="1" applyFill="1" applyBorder="1" applyAlignment="1">
      <alignment vertical="center"/>
    </xf>
    <xf numFmtId="0" fontId="19" fillId="7" borderId="4" xfId="0" applyFont="1" applyFill="1" applyBorder="1" applyAlignment="1">
      <alignment vertical="center" wrapText="1"/>
    </xf>
    <xf numFmtId="3" fontId="19" fillId="7" borderId="4" xfId="0" applyNumberFormat="1" applyFont="1" applyFill="1" applyBorder="1" applyAlignment="1">
      <alignment vertical="center" wrapText="1"/>
    </xf>
    <xf numFmtId="0" fontId="12" fillId="7" borderId="0" xfId="0" applyFont="1" applyFill="1" applyAlignment="1">
      <alignment vertical="center" wrapText="1"/>
    </xf>
    <xf numFmtId="3" fontId="12" fillId="7" borderId="0" xfId="0" applyNumberFormat="1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3" fontId="0" fillId="0" borderId="0" xfId="0" applyNumberFormat="1"/>
    <xf numFmtId="3" fontId="3" fillId="0" borderId="0" xfId="0" applyNumberFormat="1" applyFont="1"/>
    <xf numFmtId="0" fontId="12" fillId="0" borderId="0" xfId="0" applyFont="1" applyAlignment="1">
      <alignment horizontal="left" vertical="center" indent="1"/>
    </xf>
    <xf numFmtId="0" fontId="15" fillId="7" borderId="1" xfId="0" applyFont="1" applyFill="1" applyBorder="1" applyAlignment="1">
      <alignment vertical="center"/>
    </xf>
    <xf numFmtId="0" fontId="0" fillId="0" borderId="1" xfId="0" applyBorder="1"/>
    <xf numFmtId="167" fontId="3" fillId="0" borderId="1" xfId="0" applyNumberFormat="1" applyFont="1" applyBorder="1"/>
    <xf numFmtId="0" fontId="15" fillId="0" borderId="5" xfId="0" applyFont="1" applyBorder="1" applyAlignment="1">
      <alignment vertical="center"/>
    </xf>
    <xf numFmtId="0" fontId="3" fillId="0" borderId="5" xfId="0" applyFont="1" applyBorder="1"/>
    <xf numFmtId="167" fontId="15" fillId="7" borderId="5" xfId="0" applyNumberFormat="1" applyFont="1" applyFill="1" applyBorder="1" applyAlignment="1">
      <alignment horizontal="right" vertical="center" wrapText="1"/>
    </xf>
    <xf numFmtId="167" fontId="10" fillId="7" borderId="0" xfId="0" applyNumberFormat="1" applyFont="1" applyFill="1" applyAlignment="1">
      <alignment horizontal="right" vertical="center" wrapText="1"/>
    </xf>
    <xf numFmtId="9" fontId="0" fillId="0" borderId="0" xfId="6" applyFont="1"/>
    <xf numFmtId="165" fontId="4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right"/>
    </xf>
    <xf numFmtId="0" fontId="0" fillId="0" borderId="5" xfId="0" applyBorder="1"/>
    <xf numFmtId="9" fontId="0" fillId="0" borderId="5" xfId="6" applyFont="1" applyBorder="1" applyAlignment="1">
      <alignment horizontal="right"/>
    </xf>
    <xf numFmtId="9" fontId="0" fillId="0" borderId="5" xfId="6" applyFont="1" applyBorder="1"/>
    <xf numFmtId="0" fontId="0" fillId="0" borderId="0" xfId="0" applyAlignment="1">
      <alignment horizontal="right"/>
    </xf>
    <xf numFmtId="9" fontId="0" fillId="0" borderId="0" xfId="6" applyFont="1" applyBorder="1"/>
    <xf numFmtId="0" fontId="0" fillId="0" borderId="6" xfId="0" applyBorder="1"/>
    <xf numFmtId="9" fontId="0" fillId="0" borderId="6" xfId="6" applyFont="1" applyBorder="1" applyAlignment="1">
      <alignment horizontal="right"/>
    </xf>
    <xf numFmtId="9" fontId="0" fillId="0" borderId="6" xfId="6" applyFont="1" applyBorder="1"/>
    <xf numFmtId="9" fontId="0" fillId="0" borderId="0" xfId="0" applyNumberFormat="1"/>
    <xf numFmtId="170" fontId="0" fillId="0" borderId="6" xfId="6" applyNumberFormat="1" applyFont="1" applyBorder="1"/>
    <xf numFmtId="170" fontId="0" fillId="0" borderId="5" xfId="6" applyNumberFormat="1" applyFont="1" applyBorder="1"/>
    <xf numFmtId="170" fontId="0" fillId="0" borderId="0" xfId="6" applyNumberFormat="1" applyFont="1" applyBorder="1"/>
    <xf numFmtId="1" fontId="0" fillId="0" borderId="5" xfId="0" applyNumberFormat="1" applyBorder="1"/>
    <xf numFmtId="1" fontId="0" fillId="0" borderId="0" xfId="0" applyNumberFormat="1"/>
    <xf numFmtId="1" fontId="0" fillId="0" borderId="6" xfId="0" applyNumberFormat="1" applyBorder="1"/>
    <xf numFmtId="0" fontId="0" fillId="0" borderId="7" xfId="0" applyBorder="1"/>
    <xf numFmtId="9" fontId="0" fillId="0" borderId="7" xfId="6" applyFont="1" applyBorder="1"/>
    <xf numFmtId="171" fontId="0" fillId="0" borderId="0" xfId="0" applyNumberFormat="1"/>
    <xf numFmtId="172" fontId="0" fillId="0" borderId="0" xfId="0" applyNumberFormat="1"/>
    <xf numFmtId="0" fontId="4" fillId="9" borderId="0" xfId="0" applyFont="1" applyFill="1"/>
    <xf numFmtId="0" fontId="18" fillId="0" borderId="0" xfId="0" applyFont="1" applyAlignment="1">
      <alignment horizontal="centerContinuous"/>
    </xf>
    <xf numFmtId="0" fontId="18" fillId="0" borderId="0" xfId="0" applyFont="1" applyAlignment="1">
      <alignment horizontal="center"/>
    </xf>
    <xf numFmtId="0" fontId="22" fillId="0" borderId="0" xfId="0" applyFont="1"/>
    <xf numFmtId="0" fontId="21" fillId="0" borderId="0" xfId="0" applyFont="1" applyAlignment="1">
      <alignment horizontal="center"/>
    </xf>
    <xf numFmtId="0" fontId="24" fillId="0" borderId="0" xfId="0" applyFont="1"/>
    <xf numFmtId="167" fontId="25" fillId="7" borderId="0" xfId="0" applyNumberFormat="1" applyFont="1" applyFill="1" applyAlignment="1">
      <alignment horizontal="right" vertical="center" wrapText="1"/>
    </xf>
    <xf numFmtId="2" fontId="0" fillId="0" borderId="0" xfId="0" applyNumberFormat="1"/>
    <xf numFmtId="0" fontId="24" fillId="0" borderId="0" xfId="0" applyFont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3" fillId="0" borderId="8" xfId="0" applyFont="1" applyBorder="1"/>
    <xf numFmtId="10" fontId="0" fillId="0" borderId="0" xfId="6" applyNumberFormat="1" applyFont="1"/>
    <xf numFmtId="10" fontId="24" fillId="0" borderId="0" xfId="6" applyNumberFormat="1" applyFont="1"/>
    <xf numFmtId="0" fontId="0" fillId="0" borderId="9" xfId="0" applyBorder="1"/>
    <xf numFmtId="10" fontId="0" fillId="0" borderId="9" xfId="0" applyNumberFormat="1" applyBorder="1"/>
    <xf numFmtId="10" fontId="0" fillId="10" borderId="9" xfId="0" applyNumberFormat="1" applyFill="1" applyBorder="1"/>
    <xf numFmtId="2" fontId="0" fillId="10" borderId="9" xfId="0" applyNumberFormat="1" applyFill="1" applyBorder="1"/>
    <xf numFmtId="10" fontId="0" fillId="0" borderId="9" xfId="6" applyNumberFormat="1" applyFont="1" applyBorder="1"/>
    <xf numFmtId="10" fontId="0" fillId="10" borderId="9" xfId="6" applyNumberFormat="1" applyFont="1" applyFill="1" applyBorder="1"/>
    <xf numFmtId="2" fontId="0" fillId="10" borderId="0" xfId="0" applyNumberFormat="1" applyFill="1"/>
    <xf numFmtId="2" fontId="0" fillId="0" borderId="2" xfId="0" applyNumberFormat="1" applyBorder="1"/>
    <xf numFmtId="2" fontId="0" fillId="0" borderId="8" xfId="0" applyNumberFormat="1" applyBorder="1"/>
    <xf numFmtId="10" fontId="0" fillId="10" borderId="0" xfId="6" applyNumberFormat="1" applyFont="1" applyFill="1"/>
    <xf numFmtId="10" fontId="0" fillId="0" borderId="2" xfId="0" applyNumberFormat="1" applyBorder="1"/>
    <xf numFmtId="10" fontId="0" fillId="0" borderId="8" xfId="0" applyNumberFormat="1" applyBorder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6" fillId="0" borderId="0" xfId="0" applyFont="1"/>
    <xf numFmtId="0" fontId="26" fillId="0" borderId="0" xfId="0" applyFont="1" applyAlignment="1">
      <alignment vertical="top"/>
    </xf>
    <xf numFmtId="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9" fontId="24" fillId="0" borderId="0" xfId="6" applyFont="1"/>
    <xf numFmtId="2" fontId="0" fillId="10" borderId="10" xfId="0" applyNumberFormat="1" applyFill="1" applyBorder="1"/>
    <xf numFmtId="0" fontId="0" fillId="10" borderId="10" xfId="0" applyFill="1" applyBorder="1"/>
    <xf numFmtId="0" fontId="0" fillId="0" borderId="0" xfId="0" applyAlignment="1">
      <alignment horizontal="left"/>
    </xf>
    <xf numFmtId="0" fontId="0" fillId="10" borderId="9" xfId="0" applyFill="1" applyBorder="1"/>
    <xf numFmtId="0" fontId="3" fillId="0" borderId="0" xfId="0" applyFont="1" applyAlignment="1">
      <alignment horizontal="right"/>
    </xf>
    <xf numFmtId="10" fontId="0" fillId="0" borderId="0" xfId="6" applyNumberFormat="1" applyFont="1" applyFill="1" applyBorder="1"/>
    <xf numFmtId="10" fontId="0" fillId="0" borderId="0" xfId="0" applyNumberFormat="1" applyAlignment="1">
      <alignment horizontal="right"/>
    </xf>
    <xf numFmtId="0" fontId="0" fillId="10" borderId="11" xfId="0" applyFill="1" applyBorder="1"/>
    <xf numFmtId="10" fontId="0" fillId="10" borderId="11" xfId="0" applyNumberFormat="1" applyFill="1" applyBorder="1"/>
    <xf numFmtId="0" fontId="4" fillId="6" borderId="0" xfId="0" applyFont="1" applyFill="1" applyAlignment="1">
      <alignment horizontal="right"/>
    </xf>
    <xf numFmtId="0" fontId="21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vertical="center"/>
    </xf>
    <xf numFmtId="0" fontId="0" fillId="6" borderId="0" xfId="0" applyFill="1"/>
    <xf numFmtId="0" fontId="28" fillId="6" borderId="0" xfId="0" applyFont="1" applyFill="1" applyAlignment="1">
      <alignment vertical="center"/>
    </xf>
    <xf numFmtId="0" fontId="28" fillId="6" borderId="0" xfId="0" applyFont="1" applyFill="1"/>
    <xf numFmtId="0" fontId="4" fillId="6" borderId="0" xfId="0" applyFont="1" applyFill="1" applyAlignment="1">
      <alignment vertical="top"/>
    </xf>
    <xf numFmtId="0" fontId="28" fillId="6" borderId="0" xfId="0" applyFont="1" applyFill="1" applyAlignment="1">
      <alignment vertical="top"/>
    </xf>
    <xf numFmtId="0" fontId="0" fillId="0" borderId="0" xfId="0" applyAlignment="1">
      <alignment vertical="top"/>
    </xf>
    <xf numFmtId="10" fontId="3" fillId="0" borderId="0" xfId="6" applyNumberFormat="1" applyFont="1"/>
    <xf numFmtId="0" fontId="3" fillId="11" borderId="0" xfId="0" applyFont="1" applyFill="1"/>
    <xf numFmtId="17" fontId="4" fillId="6" borderId="0" xfId="0" applyNumberFormat="1" applyFont="1" applyFill="1"/>
    <xf numFmtId="173" fontId="0" fillId="0" borderId="0" xfId="0" applyNumberFormat="1"/>
    <xf numFmtId="173" fontId="3" fillId="0" borderId="0" xfId="0" applyNumberFormat="1" applyFont="1"/>
    <xf numFmtId="173" fontId="0" fillId="11" borderId="0" xfId="0" applyNumberFormat="1" applyFill="1"/>
    <xf numFmtId="0" fontId="3" fillId="0" borderId="9" xfId="0" applyFont="1" applyBorder="1"/>
    <xf numFmtId="173" fontId="3" fillId="0" borderId="9" xfId="0" applyNumberFormat="1" applyFont="1" applyBorder="1"/>
    <xf numFmtId="0" fontId="3" fillId="0" borderId="12" xfId="0" applyFont="1" applyBorder="1"/>
    <xf numFmtId="174" fontId="0" fillId="0" borderId="0" xfId="0" applyNumberFormat="1"/>
    <xf numFmtId="174" fontId="0" fillId="0" borderId="12" xfId="0" applyNumberFormat="1" applyBorder="1"/>
    <xf numFmtId="174" fontId="3" fillId="0" borderId="0" xfId="0" applyNumberFormat="1" applyFont="1"/>
    <xf numFmtId="0" fontId="3" fillId="11" borderId="13" xfId="0" applyFont="1" applyFill="1" applyBorder="1"/>
    <xf numFmtId="174" fontId="3" fillId="11" borderId="13" xfId="0" applyNumberFormat="1" applyFont="1" applyFill="1" applyBorder="1"/>
    <xf numFmtId="0" fontId="3" fillId="0" borderId="14" xfId="0" applyFont="1" applyBorder="1"/>
    <xf numFmtId="173" fontId="0" fillId="0" borderId="14" xfId="0" applyNumberFormat="1" applyBorder="1"/>
    <xf numFmtId="0" fontId="3" fillId="0" borderId="15" xfId="0" applyFont="1" applyBorder="1"/>
    <xf numFmtId="174" fontId="3" fillId="0" borderId="15" xfId="0" applyNumberFormat="1" applyFont="1" applyBorder="1"/>
    <xf numFmtId="174" fontId="3" fillId="0" borderId="12" xfId="0" applyNumberFormat="1" applyFont="1" applyBorder="1"/>
    <xf numFmtId="10" fontId="3" fillId="11" borderId="13" xfId="0" applyNumberFormat="1" applyFont="1" applyFill="1" applyBorder="1"/>
    <xf numFmtId="10" fontId="24" fillId="0" borderId="0" xfId="0" applyNumberFormat="1" applyFont="1"/>
    <xf numFmtId="10" fontId="3" fillId="0" borderId="15" xfId="6" applyNumberFormat="1" applyFont="1" applyBorder="1"/>
    <xf numFmtId="0" fontId="3" fillId="10" borderId="0" xfId="0" applyFont="1" applyFill="1"/>
    <xf numFmtId="10" fontId="3" fillId="10" borderId="0" xfId="0" applyNumberFormat="1" applyFont="1" applyFill="1"/>
    <xf numFmtId="0" fontId="3" fillId="11" borderId="15" xfId="0" applyFont="1" applyFill="1" applyBorder="1"/>
    <xf numFmtId="10" fontId="3" fillId="11" borderId="15" xfId="0" applyNumberFormat="1" applyFont="1" applyFill="1" applyBorder="1"/>
    <xf numFmtId="0" fontId="3" fillId="0" borderId="16" xfId="0" applyFont="1" applyBorder="1"/>
    <xf numFmtId="17" fontId="3" fillId="0" borderId="16" xfId="0" applyNumberFormat="1" applyFont="1" applyBorder="1"/>
    <xf numFmtId="0" fontId="3" fillId="0" borderId="13" xfId="0" applyFont="1" applyBorder="1"/>
    <xf numFmtId="10" fontId="3" fillId="0" borderId="13" xfId="6" applyNumberFormat="1" applyFont="1" applyBorder="1"/>
    <xf numFmtId="175" fontId="4" fillId="6" borderId="0" xfId="0" applyNumberFormat="1" applyFont="1" applyFill="1"/>
    <xf numFmtId="176" fontId="4" fillId="6" borderId="0" xfId="0" applyNumberFormat="1" applyFont="1" applyFill="1"/>
    <xf numFmtId="177" fontId="0" fillId="0" borderId="0" xfId="0" applyNumberFormat="1"/>
    <xf numFmtId="0" fontId="0" fillId="10" borderId="0" xfId="0" applyFill="1"/>
    <xf numFmtId="10" fontId="0" fillId="10" borderId="0" xfId="0" applyNumberFormat="1" applyFill="1"/>
    <xf numFmtId="10" fontId="24" fillId="10" borderId="0" xfId="0" applyNumberFormat="1" applyFont="1" applyFill="1"/>
    <xf numFmtId="1" fontId="3" fillId="0" borderId="13" xfId="0" applyNumberFormat="1" applyFont="1" applyBorder="1"/>
    <xf numFmtId="43" fontId="0" fillId="0" borderId="0" xfId="0" applyNumberFormat="1"/>
    <xf numFmtId="43" fontId="3" fillId="0" borderId="13" xfId="0" applyNumberFormat="1" applyFont="1" applyBorder="1"/>
    <xf numFmtId="178" fontId="0" fillId="0" borderId="0" xfId="0" applyNumberFormat="1"/>
    <xf numFmtId="0" fontId="0" fillId="0" borderId="17" xfId="0" applyBorder="1"/>
    <xf numFmtId="0" fontId="7" fillId="0" borderId="0" xfId="0" applyFont="1"/>
    <xf numFmtId="1" fontId="0" fillId="0" borderId="0" xfId="0" applyNumberFormat="1" applyAlignment="1">
      <alignment horizontal="right"/>
    </xf>
    <xf numFmtId="0" fontId="0" fillId="10" borderId="13" xfId="0" applyFill="1" applyBorder="1"/>
    <xf numFmtId="178" fontId="0" fillId="10" borderId="20" xfId="0" applyNumberFormat="1" applyFill="1" applyBorder="1"/>
    <xf numFmtId="0" fontId="0" fillId="0" borderId="20" xfId="0" applyBorder="1"/>
    <xf numFmtId="0" fontId="6" fillId="0" borderId="20" xfId="2" applyBorder="1" applyAlignment="1" applyProtection="1"/>
    <xf numFmtId="179" fontId="0" fillId="0" borderId="20" xfId="0" applyNumberFormat="1" applyBorder="1"/>
    <xf numFmtId="180" fontId="0" fillId="0" borderId="20" xfId="0" applyNumberFormat="1" applyBorder="1"/>
    <xf numFmtId="179" fontId="9" fillId="0" borderId="20" xfId="0" applyNumberFormat="1" applyFont="1" applyBorder="1"/>
    <xf numFmtId="178" fontId="0" fillId="0" borderId="20" xfId="0" applyNumberFormat="1" applyBorder="1"/>
    <xf numFmtId="0" fontId="0" fillId="10" borderId="20" xfId="0" applyFill="1" applyBorder="1"/>
    <xf numFmtId="0" fontId="3" fillId="10" borderId="20" xfId="0" applyFont="1" applyFill="1" applyBorder="1"/>
    <xf numFmtId="178" fontId="3" fillId="10" borderId="20" xfId="0" applyNumberFormat="1" applyFont="1" applyFill="1" applyBorder="1"/>
    <xf numFmtId="0" fontId="0" fillId="0" borderId="21" xfId="0" applyBorder="1"/>
    <xf numFmtId="0" fontId="0" fillId="0" borderId="19" xfId="0" applyBorder="1"/>
    <xf numFmtId="0" fontId="0" fillId="10" borderId="21" xfId="0" applyFill="1" applyBorder="1"/>
    <xf numFmtId="0" fontId="6" fillId="10" borderId="21" xfId="2" applyFill="1" applyBorder="1" applyAlignment="1" applyProtection="1"/>
    <xf numFmtId="179" fontId="0" fillId="10" borderId="21" xfId="0" applyNumberFormat="1" applyFill="1" applyBorder="1"/>
    <xf numFmtId="180" fontId="0" fillId="10" borderId="21" xfId="0" applyNumberFormat="1" applyFill="1" applyBorder="1"/>
    <xf numFmtId="179" fontId="7" fillId="10" borderId="21" xfId="0" applyNumberFormat="1" applyFont="1" applyFill="1" applyBorder="1"/>
    <xf numFmtId="179" fontId="9" fillId="10" borderId="21" xfId="0" applyNumberFormat="1" applyFont="1" applyFill="1" applyBorder="1"/>
    <xf numFmtId="178" fontId="0" fillId="10" borderId="21" xfId="0" applyNumberFormat="1" applyFill="1" applyBorder="1"/>
    <xf numFmtId="179" fontId="0" fillId="0" borderId="19" xfId="0" applyNumberFormat="1" applyBorder="1"/>
    <xf numFmtId="179" fontId="0" fillId="10" borderId="13" xfId="0" applyNumberFormat="1" applyFill="1" applyBorder="1"/>
    <xf numFmtId="179" fontId="0" fillId="0" borderId="21" xfId="0" applyNumberFormat="1" applyBorder="1"/>
    <xf numFmtId="0" fontId="4" fillId="6" borderId="0" xfId="0" applyFont="1" applyFill="1" applyAlignment="1">
      <alignment horizontal="right" wrapText="1"/>
    </xf>
    <xf numFmtId="1" fontId="3" fillId="0" borderId="14" xfId="0" applyNumberFormat="1" applyFont="1" applyBorder="1"/>
    <xf numFmtId="1" fontId="7" fillId="0" borderId="0" xfId="0" applyNumberFormat="1" applyFont="1"/>
    <xf numFmtId="0" fontId="0" fillId="0" borderId="22" xfId="0" applyBorder="1"/>
    <xf numFmtId="0" fontId="0" fillId="0" borderId="17" xfId="0" applyBorder="1" applyAlignment="1">
      <alignment horizontal="center"/>
    </xf>
    <xf numFmtId="0" fontId="7" fillId="6" borderId="0" xfId="0" applyFont="1" applyFill="1"/>
    <xf numFmtId="4" fontId="0" fillId="10" borderId="0" xfId="0" applyNumberFormat="1" applyFill="1"/>
    <xf numFmtId="167" fontId="1" fillId="7" borderId="0" xfId="0" applyNumberFormat="1" applyFont="1" applyFill="1" applyAlignment="1">
      <alignment horizontal="right" vertical="center" wrapText="1"/>
    </xf>
    <xf numFmtId="4" fontId="0" fillId="0" borderId="0" xfId="0" applyNumberFormat="1" applyAlignment="1">
      <alignment horizontal="right"/>
    </xf>
    <xf numFmtId="10" fontId="5" fillId="10" borderId="0" xfId="6" applyNumberFormat="1" applyFont="1" applyFill="1"/>
    <xf numFmtId="0" fontId="3" fillId="0" borderId="23" xfId="0" applyFont="1" applyBorder="1"/>
    <xf numFmtId="0" fontId="0" fillId="0" borderId="23" xfId="0" applyBorder="1"/>
    <xf numFmtId="181" fontId="3" fillId="0" borderId="0" xfId="0" applyNumberFormat="1" applyFont="1"/>
    <xf numFmtId="181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9" fontId="3" fillId="0" borderId="0" xfId="0" applyNumberFormat="1" applyFont="1" applyAlignment="1">
      <alignment horizontal="center"/>
    </xf>
    <xf numFmtId="9" fontId="0" fillId="0" borderId="0" xfId="6" applyFont="1" applyBorder="1" applyAlignment="1">
      <alignment horizontal="center"/>
    </xf>
    <xf numFmtId="9" fontId="5" fillId="0" borderId="0" xfId="6" applyFont="1" applyFill="1" applyBorder="1"/>
    <xf numFmtId="2" fontId="3" fillId="0" borderId="0" xfId="0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0" borderId="0" xfId="6" applyNumberFormat="1" applyFont="1" applyFill="1" applyBorder="1" applyAlignment="1">
      <alignment horizontal="center"/>
    </xf>
    <xf numFmtId="2" fontId="0" fillId="0" borderId="0" xfId="6" applyNumberFormat="1" applyFont="1"/>
    <xf numFmtId="10" fontId="3" fillId="0" borderId="0" xfId="6" applyNumberFormat="1" applyFont="1" applyBorder="1"/>
    <xf numFmtId="9" fontId="3" fillId="0" borderId="0" xfId="6" applyFont="1" applyFill="1" applyBorder="1" applyAlignment="1">
      <alignment horizontal="center"/>
    </xf>
    <xf numFmtId="2" fontId="4" fillId="0" borderId="0" xfId="0" applyNumberFormat="1" applyFont="1"/>
    <xf numFmtId="2" fontId="5" fillId="0" borderId="0" xfId="6" applyNumberFormat="1" applyFont="1" applyBorder="1" applyAlignment="1">
      <alignment horizontal="center"/>
    </xf>
    <xf numFmtId="2" fontId="3" fillId="0" borderId="13" xfId="0" applyNumberFormat="1" applyFont="1" applyBorder="1"/>
    <xf numFmtId="0" fontId="4" fillId="6" borderId="18" xfId="0" applyFont="1" applyFill="1" applyBorder="1" applyAlignment="1">
      <alignment horizontal="center"/>
    </xf>
    <xf numFmtId="0" fontId="28" fillId="6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7" fontId="4" fillId="6" borderId="0" xfId="0" applyNumberFormat="1" applyFont="1" applyFill="1" applyAlignment="1">
      <alignment horizontal="center"/>
    </xf>
    <xf numFmtId="0" fontId="21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43" fontId="6" fillId="0" borderId="0" xfId="2" applyNumberFormat="1" applyBorder="1" applyAlignment="1" applyProtection="1">
      <alignment horizontal="center"/>
    </xf>
    <xf numFmtId="43" fontId="4" fillId="4" borderId="0" xfId="5" applyNumberFormat="1" applyFont="1" applyBorder="1" applyAlignment="1">
      <alignment horizontal="center"/>
    </xf>
    <xf numFmtId="0" fontId="7" fillId="6" borderId="0" xfId="0" applyFont="1" applyFill="1" applyAlignment="1">
      <alignment horizontal="right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774C96"/>
      <color rgb="FF3333FF"/>
      <color rgb="FFFFFF99"/>
      <color rgb="FF9900CC"/>
      <color rgb="FF0275D8"/>
      <color rgb="FF0000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774C96"/>
                </a:solidFill>
              </a:rPr>
              <a:t>Valuation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'Football Field'!$C$23</c:f>
              <c:strCache>
                <c:ptCount val="1"/>
                <c:pt idx="0">
                  <c:v>Open 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145932807350134E-2"/>
                  <c:y val="3.1119091699939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D8-40FE-9EE7-0F36C4D220BE}"/>
                </c:ext>
              </c:extLst>
            </c:dLbl>
            <c:dLbl>
              <c:idx val="1"/>
              <c:layout>
                <c:manualLayout>
                  <c:x val="-7.7252825914243234E-2"/>
                  <c:y val="3.67848140795431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D8-40FE-9EE7-0F36C4D220BE}"/>
                </c:ext>
              </c:extLst>
            </c:dLbl>
            <c:dLbl>
              <c:idx val="2"/>
              <c:layout>
                <c:manualLayout>
                  <c:x val="-7.7252825914243234E-2"/>
                  <c:y val="4.245053645914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D8-40FE-9EE7-0F36C4D220BE}"/>
                </c:ext>
              </c:extLst>
            </c:dLbl>
            <c:dLbl>
              <c:idx val="3"/>
              <c:layout>
                <c:manualLayout>
                  <c:x val="-7.7252825914243317E-2"/>
                  <c:y val="4.245053645914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D8-40FE-9EE7-0F36C4D220BE}"/>
                </c:ext>
              </c:extLst>
            </c:dLbl>
            <c:dLbl>
              <c:idx val="4"/>
              <c:layout>
                <c:manualLayout>
                  <c:x val="-6.8889221015205407E-2"/>
                  <c:y val="4.2450536459146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D8-40FE-9EE7-0F36C4D220B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Field'!$B$24:$B$28</c:f>
              <c:strCache>
                <c:ptCount val="5"/>
                <c:pt idx="0">
                  <c:v>Comps</c:v>
                </c:pt>
                <c:pt idx="1">
                  <c:v>Bear Case</c:v>
                </c:pt>
                <c:pt idx="2">
                  <c:v>Base Case</c:v>
                </c:pt>
                <c:pt idx="3">
                  <c:v>Bull Case</c:v>
                </c:pt>
                <c:pt idx="4">
                  <c:v>52W H/L</c:v>
                </c:pt>
              </c:strCache>
            </c:strRef>
          </c:cat>
          <c:val>
            <c:numRef>
              <c:f>'Football Field'!$C$24:$C$28</c:f>
              <c:numCache>
                <c:formatCode>General</c:formatCode>
                <c:ptCount val="5"/>
                <c:pt idx="0" formatCode="0">
                  <c:v>45.8</c:v>
                </c:pt>
                <c:pt idx="1">
                  <c:v>202</c:v>
                </c:pt>
                <c:pt idx="2">
                  <c:v>246</c:v>
                </c:pt>
                <c:pt idx="3">
                  <c:v>229</c:v>
                </c:pt>
                <c:pt idx="4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D8-40FE-9EE7-0F36C4D220BE}"/>
            </c:ext>
          </c:extLst>
        </c:ser>
        <c:ser>
          <c:idx val="1"/>
          <c:order val="1"/>
          <c:tx>
            <c:strRef>
              <c:f>'Football Field'!$D$23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Field'!$B$24:$B$28</c:f>
              <c:strCache>
                <c:ptCount val="5"/>
                <c:pt idx="0">
                  <c:v>Comps</c:v>
                </c:pt>
                <c:pt idx="1">
                  <c:v>Bear Case</c:v>
                </c:pt>
                <c:pt idx="2">
                  <c:v>Base Case</c:v>
                </c:pt>
                <c:pt idx="3">
                  <c:v>Bull Case</c:v>
                </c:pt>
                <c:pt idx="4">
                  <c:v>52W H/L</c:v>
                </c:pt>
              </c:strCache>
            </c:strRef>
          </c:cat>
          <c:val>
            <c:numRef>
              <c:f>'Football Field'!$D$24:$D$28</c:f>
              <c:numCache>
                <c:formatCode>General</c:formatCode>
                <c:ptCount val="5"/>
                <c:pt idx="0" formatCode="0">
                  <c:v>45.8</c:v>
                </c:pt>
                <c:pt idx="1">
                  <c:v>202</c:v>
                </c:pt>
                <c:pt idx="2">
                  <c:v>246</c:v>
                </c:pt>
                <c:pt idx="3">
                  <c:v>229</c:v>
                </c:pt>
                <c:pt idx="4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D8-40FE-9EE7-0F36C4D220BE}"/>
            </c:ext>
          </c:extLst>
        </c:ser>
        <c:ser>
          <c:idx val="2"/>
          <c:order val="2"/>
          <c:tx>
            <c:strRef>
              <c:f>'Football Field'!$E$23</c:f>
              <c:strCache>
                <c:ptCount val="1"/>
                <c:pt idx="0">
                  <c:v>Open 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Field'!$B$24:$B$28</c:f>
              <c:strCache>
                <c:ptCount val="5"/>
                <c:pt idx="0">
                  <c:v>Comps</c:v>
                </c:pt>
                <c:pt idx="1">
                  <c:v>Bear Case</c:v>
                </c:pt>
                <c:pt idx="2">
                  <c:v>Base Case</c:v>
                </c:pt>
                <c:pt idx="3">
                  <c:v>Bull Case</c:v>
                </c:pt>
                <c:pt idx="4">
                  <c:v>52W H/L</c:v>
                </c:pt>
              </c:strCache>
            </c:strRef>
          </c:cat>
          <c:val>
            <c:numRef>
              <c:f>'Football Field'!$E$24:$E$28</c:f>
              <c:numCache>
                <c:formatCode>General</c:formatCode>
                <c:ptCount val="5"/>
                <c:pt idx="0" formatCode="0">
                  <c:v>329</c:v>
                </c:pt>
                <c:pt idx="1">
                  <c:v>229</c:v>
                </c:pt>
                <c:pt idx="2">
                  <c:v>293</c:v>
                </c:pt>
                <c:pt idx="3">
                  <c:v>267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D8-40FE-9EE7-0F36C4D220BE}"/>
            </c:ext>
          </c:extLst>
        </c:ser>
        <c:ser>
          <c:idx val="3"/>
          <c:order val="3"/>
          <c:tx>
            <c:strRef>
              <c:f>'Football Field'!$F$23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9240837902255246E-2"/>
                  <c:y val="-4.245053645914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D8-40FE-9EE7-0F36C4D220BE}"/>
                </c:ext>
              </c:extLst>
            </c:dLbl>
            <c:dLbl>
              <c:idx val="1"/>
              <c:layout>
                <c:manualLayout>
                  <c:x val="-7.7252825914243234E-2"/>
                  <c:y val="-4.24505364591466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D8-40FE-9EE7-0F36C4D220BE}"/>
                </c:ext>
              </c:extLst>
            </c:dLbl>
            <c:dLbl>
              <c:idx val="2"/>
              <c:layout>
                <c:manualLayout>
                  <c:x val="-7.7252825914243234E-2"/>
                  <c:y val="-4.24505364591465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D8-40FE-9EE7-0F36C4D220BE}"/>
                </c:ext>
              </c:extLst>
            </c:dLbl>
            <c:dLbl>
              <c:idx val="3"/>
              <c:layout>
                <c:manualLayout>
                  <c:x val="-8.5244833906251302E-2"/>
                  <c:y val="-4.811625883874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D8-40FE-9EE7-0F36C4D220BE}"/>
                </c:ext>
              </c:extLst>
            </c:dLbl>
            <c:dLbl>
              <c:idx val="4"/>
              <c:layout>
                <c:manualLayout>
                  <c:x val="-7.2885225011209406E-2"/>
                  <c:y val="-3.6784814079543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D8-40FE-9EE7-0F36C4D220B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Field'!$B$24:$B$28</c:f>
              <c:strCache>
                <c:ptCount val="5"/>
                <c:pt idx="0">
                  <c:v>Comps</c:v>
                </c:pt>
                <c:pt idx="1">
                  <c:v>Bear Case</c:v>
                </c:pt>
                <c:pt idx="2">
                  <c:v>Base Case</c:v>
                </c:pt>
                <c:pt idx="3">
                  <c:v>Bull Case</c:v>
                </c:pt>
                <c:pt idx="4">
                  <c:v>52W H/L</c:v>
                </c:pt>
              </c:strCache>
            </c:strRef>
          </c:cat>
          <c:val>
            <c:numRef>
              <c:f>'Football Field'!$F$24:$F$28</c:f>
              <c:numCache>
                <c:formatCode>General</c:formatCode>
                <c:ptCount val="5"/>
                <c:pt idx="0" formatCode="0">
                  <c:v>329</c:v>
                </c:pt>
                <c:pt idx="1">
                  <c:v>229</c:v>
                </c:pt>
                <c:pt idx="2">
                  <c:v>293</c:v>
                </c:pt>
                <c:pt idx="3">
                  <c:v>267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D8-40FE-9EE7-0F36C4D220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774C96"/>
              </a:solidFill>
              <a:ln w="9525" cap="flat" cmpd="sng" algn="ctr">
                <a:noFill/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6520543"/>
        <c:axId val="76515743"/>
      </c:stockChart>
      <c:catAx>
        <c:axId val="7652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5743"/>
        <c:crosses val="autoZero"/>
        <c:auto val="1"/>
        <c:lblAlgn val="ctr"/>
        <c:lblOffset val="100"/>
        <c:noMultiLvlLbl val="0"/>
      </c:catAx>
      <c:valAx>
        <c:axId val="76515743"/>
        <c:scaling>
          <c:orientation val="minMax"/>
          <c:max val="340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</a:t>
            </a:r>
            <a:r>
              <a:rPr lang="en-US"/>
              <a:t>Regression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900CC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9900CC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774C9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Forecasting!$C$4:$C$13</c:f>
              <c:numCache>
                <c:formatCode>yyyy"A"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xVal>
          <c:yVal>
            <c:numRef>
              <c:f>Forecasting!$D$4:$D$13</c:f>
              <c:numCache>
                <c:formatCode>0</c:formatCode>
                <c:ptCount val="10"/>
                <c:pt idx="0">
                  <c:v>14271.49</c:v>
                </c:pt>
                <c:pt idx="1">
                  <c:v>15061.99</c:v>
                </c:pt>
                <c:pt idx="2">
                  <c:v>16824.55</c:v>
                </c:pt>
                <c:pt idx="3">
                  <c:v>19240.13</c:v>
                </c:pt>
                <c:pt idx="4">
                  <c:v>20211.25</c:v>
                </c:pt>
                <c:pt idx="5">
                  <c:v>21712.79</c:v>
                </c:pt>
                <c:pt idx="6">
                  <c:v>29101.279999999999</c:v>
                </c:pt>
                <c:pt idx="7">
                  <c:v>34488.589999999997</c:v>
                </c:pt>
                <c:pt idx="8">
                  <c:v>35494.730000000003</c:v>
                </c:pt>
                <c:pt idx="9">
                  <c:v>33905.620000000003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BA-4864-AF9F-4B32584AF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597391"/>
        <c:axId val="1915598351"/>
      </c:scatterChart>
      <c:valAx>
        <c:axId val="1915597391"/>
        <c:scaling>
          <c:orientation val="minMax"/>
          <c:min val="42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598351"/>
        <c:crosses val="autoZero"/>
        <c:crossBetween val="midCat"/>
        <c:majorUnit val="400"/>
      </c:valAx>
      <c:valAx>
        <c:axId val="19155983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59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146050</xdr:colOff>
      <xdr:row>1</xdr:row>
      <xdr:rowOff>44450</xdr:rowOff>
    </xdr:from>
    <xdr:to>
      <xdr:col>8</xdr:col>
      <xdr:colOff>547688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72241-DD03-4840-B1F1-5D617FA37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0250" y="228600"/>
          <a:ext cx="401638" cy="2921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</xdr:row>
      <xdr:rowOff>50800</xdr:rowOff>
    </xdr:from>
    <xdr:to>
      <xdr:col>1</xdr:col>
      <xdr:colOff>496888</xdr:colOff>
      <xdr:row>2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ACA3B4-9C03-4865-878C-D0EF96EA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34950"/>
          <a:ext cx="401638" cy="292100"/>
        </a:xfrm>
        <a:prstGeom prst="rect">
          <a:avLst/>
        </a:prstGeom>
      </xdr:spPr>
    </xdr:pic>
    <xdr:clientData/>
  </xdr:twoCellAnchor>
  <xdr:twoCellAnchor>
    <xdr:from>
      <xdr:col>1</xdr:col>
      <xdr:colOff>15875</xdr:colOff>
      <xdr:row>3</xdr:row>
      <xdr:rowOff>38100</xdr:rowOff>
    </xdr:from>
    <xdr:to>
      <xdr:col>8</xdr:col>
      <xdr:colOff>590550</xdr:colOff>
      <xdr:row>17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A14FAA-FAC4-4712-0482-1FC036D06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165100</xdr:colOff>
      <xdr:row>1</xdr:row>
      <xdr:rowOff>44450</xdr:rowOff>
    </xdr:from>
    <xdr:to>
      <xdr:col>14</xdr:col>
      <xdr:colOff>566738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4167A5-FE8B-43CF-A393-79F3F5087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0750" y="228600"/>
          <a:ext cx="401638" cy="2921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</xdr:row>
      <xdr:rowOff>44450</xdr:rowOff>
    </xdr:from>
    <xdr:to>
      <xdr:col>1</xdr:col>
      <xdr:colOff>471488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B6E3C0-FCF7-40F4-B0A2-07F46611A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228600"/>
          <a:ext cx="401638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127000</xdr:colOff>
      <xdr:row>1</xdr:row>
      <xdr:rowOff>50800</xdr:rowOff>
    </xdr:from>
    <xdr:to>
      <xdr:col>11</xdr:col>
      <xdr:colOff>528638</xdr:colOff>
      <xdr:row>2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184A8-9433-445F-B1D4-6A8DA7D7C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0" y="234950"/>
          <a:ext cx="401638" cy="292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374650</xdr:colOff>
      <xdr:row>1</xdr:row>
      <xdr:rowOff>101601</xdr:rowOff>
    </xdr:from>
    <xdr:to>
      <xdr:col>12</xdr:col>
      <xdr:colOff>864954</xdr:colOff>
      <xdr:row>2</xdr:row>
      <xdr:rowOff>127001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458357-3311-4571-BBCE-A7A21D3FC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8800" y="285751"/>
          <a:ext cx="490304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700315</xdr:colOff>
      <xdr:row>1</xdr:row>
      <xdr:rowOff>60779</xdr:rowOff>
    </xdr:from>
    <xdr:to>
      <xdr:col>31</xdr:col>
      <xdr:colOff>1049565</xdr:colOff>
      <xdr:row>2</xdr:row>
      <xdr:rowOff>129927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D4833-D2E4-46A8-AA4E-E828EF4C3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2529" y="242208"/>
          <a:ext cx="349250" cy="2505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1025" name="AutoShape 1" descr="Asian Paints Logo PNG Vector (CDR) Free Download">
          <a:extLst>
            <a:ext uri="{FF2B5EF4-FFF2-40B4-BE49-F238E27FC236}">
              <a16:creationId xmlns:a16="http://schemas.microsoft.com/office/drawing/2014/main" id="{88D93D03-E782-62E3-282F-CFD9394C7113}"/>
            </a:ext>
          </a:extLst>
        </xdr:cNvPr>
        <xdr:cNvSpPr>
          <a:spLocks noChangeAspect="1" noChangeArrowheads="1"/>
        </xdr:cNvSpPr>
      </xdr:nvSpPr>
      <xdr:spPr bwMode="auto">
        <a:xfrm>
          <a:off x="127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1026" name="AutoShape 2" descr="Asian Paints Logo PNG Vector (CDR) Free Download">
          <a:extLst>
            <a:ext uri="{FF2B5EF4-FFF2-40B4-BE49-F238E27FC236}">
              <a16:creationId xmlns:a16="http://schemas.microsoft.com/office/drawing/2014/main" id="{9312898D-F080-E3E8-24E6-42941911E96D}"/>
            </a:ext>
          </a:extLst>
        </xdr:cNvPr>
        <xdr:cNvSpPr>
          <a:spLocks noChangeAspect="1" noChangeArrowheads="1"/>
        </xdr:cNvSpPr>
      </xdr:nvSpPr>
      <xdr:spPr bwMode="auto">
        <a:xfrm>
          <a:off x="127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244929</xdr:colOff>
      <xdr:row>0</xdr:row>
      <xdr:rowOff>99786</xdr:rowOff>
    </xdr:from>
    <xdr:to>
      <xdr:col>12</xdr:col>
      <xdr:colOff>827110</xdr:colOff>
      <xdr:row>2</xdr:row>
      <xdr:rowOff>134335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6869E-9B43-4869-9A42-9B10CDA72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1715" y="99786"/>
          <a:ext cx="582181" cy="3974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384174</xdr:colOff>
      <xdr:row>1</xdr:row>
      <xdr:rowOff>82550</xdr:rowOff>
    </xdr:from>
    <xdr:to>
      <xdr:col>10</xdr:col>
      <xdr:colOff>260349</xdr:colOff>
      <xdr:row>16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8B634-17EF-DFFC-58DA-10F9E0066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seindia.com/get-quotes/equity?symbol=KAMOPAINTS" TargetMode="External"/><Relationship Id="rId3" Type="http://schemas.openxmlformats.org/officeDocument/2006/relationships/hyperlink" Target="https://www.nseindia.com/get-quotes/equity?symbol=KANSAINER" TargetMode="External"/><Relationship Id="rId7" Type="http://schemas.openxmlformats.org/officeDocument/2006/relationships/hyperlink" Target="https://www.nseindia.com/get-quotes/equity?symbol=SHALPAINTS" TargetMode="External"/><Relationship Id="rId2" Type="http://schemas.openxmlformats.org/officeDocument/2006/relationships/hyperlink" Target="https://www.nseindia.com/get-quotes/equity?symbol=BERGEPAINT" TargetMode="External"/><Relationship Id="rId1" Type="http://schemas.openxmlformats.org/officeDocument/2006/relationships/hyperlink" Target="https://www.nseindia.com/get-quotes/equity?symbol=ASIANPAINT" TargetMode="External"/><Relationship Id="rId6" Type="http://schemas.openxmlformats.org/officeDocument/2006/relationships/hyperlink" Target="https://www.nseindia.com/get-quotes/equity?symbol=SIRCA" TargetMode="External"/><Relationship Id="rId5" Type="http://schemas.openxmlformats.org/officeDocument/2006/relationships/hyperlink" Target="https://www.nseindia.com/get-quotes/equity?symbol=INDIGOPNTS" TargetMode="External"/><Relationship Id="rId4" Type="http://schemas.openxmlformats.org/officeDocument/2006/relationships/hyperlink" Target="https://www.nseindia.com/get-quotes/equity?symbol=AKZOINDIA" TargetMode="External"/><Relationship Id="rId9" Type="http://schemas.openxmlformats.org/officeDocument/2006/relationships/hyperlink" Target="https://www.nseindia.com/get-quotes/equity?symbol=SIDDHIK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F21D-A2FA-4400-8C10-CCB19BD57A9C}">
  <sheetPr>
    <tabColor rgb="FF002060"/>
  </sheetPr>
  <dimension ref="B2:T32"/>
  <sheetViews>
    <sheetView showGridLines="0" tabSelected="1" workbookViewId="0">
      <selection activeCell="I7" sqref="I7"/>
    </sheetView>
  </sheetViews>
  <sheetFormatPr defaultRowHeight="14.5" x14ac:dyDescent="0.35"/>
  <cols>
    <col min="1" max="1" width="1.81640625" customWidth="1"/>
    <col min="2" max="2" width="20.36328125" customWidth="1"/>
    <col min="3" max="3" width="12" bestFit="1" customWidth="1"/>
    <col min="5" max="5" width="11.453125" customWidth="1"/>
    <col min="6" max="6" width="8.90625" customWidth="1"/>
    <col min="7" max="7" width="9.6328125" customWidth="1"/>
    <col min="8" max="8" width="15.6328125" customWidth="1"/>
    <col min="10" max="10" width="1.81640625" customWidth="1"/>
    <col min="13" max="13" width="10.1796875" customWidth="1"/>
    <col min="14" max="14" width="1.81640625" customWidth="1"/>
    <col min="15" max="17" width="11.81640625" bestFit="1" customWidth="1"/>
  </cols>
  <sheetData>
    <row r="2" spans="2:20" x14ac:dyDescent="0.35">
      <c r="B2" s="208" t="s">
        <v>313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</row>
    <row r="4" spans="2:20" x14ac:dyDescent="0.35">
      <c r="B4" s="21"/>
      <c r="C4" s="262" t="s">
        <v>325</v>
      </c>
      <c r="D4" s="262"/>
      <c r="E4" s="262"/>
      <c r="F4" s="262"/>
      <c r="G4" s="262"/>
      <c r="H4" s="262"/>
      <c r="I4" s="262"/>
      <c r="J4" s="21"/>
      <c r="K4" s="262" t="s">
        <v>326</v>
      </c>
      <c r="L4" s="262"/>
      <c r="M4" s="262"/>
      <c r="N4" s="21"/>
      <c r="O4" s="262" t="s">
        <v>327</v>
      </c>
      <c r="P4" s="262"/>
      <c r="Q4" s="262"/>
      <c r="R4" s="209"/>
      <c r="S4" s="209"/>
      <c r="T4" s="209"/>
    </row>
    <row r="5" spans="2:20" ht="29" x14ac:dyDescent="0.35">
      <c r="B5" s="21" t="s">
        <v>314</v>
      </c>
      <c r="C5" s="21" t="s">
        <v>315</v>
      </c>
      <c r="D5" s="234" t="s">
        <v>317</v>
      </c>
      <c r="E5" s="234" t="s">
        <v>318</v>
      </c>
      <c r="F5" s="234" t="s">
        <v>319</v>
      </c>
      <c r="G5" s="159" t="s">
        <v>316</v>
      </c>
      <c r="H5" s="159" t="s">
        <v>305</v>
      </c>
      <c r="I5" s="159"/>
      <c r="J5" s="159"/>
      <c r="K5" s="159" t="s">
        <v>320</v>
      </c>
      <c r="L5" s="159" t="s">
        <v>86</v>
      </c>
      <c r="M5" s="159" t="s">
        <v>321</v>
      </c>
      <c r="N5" s="159"/>
      <c r="O5" s="234" t="s">
        <v>322</v>
      </c>
      <c r="P5" s="234" t="s">
        <v>323</v>
      </c>
      <c r="Q5" s="159" t="s">
        <v>324</v>
      </c>
      <c r="R5" s="209"/>
      <c r="S5" s="209"/>
      <c r="T5" s="209"/>
    </row>
    <row r="6" spans="2:20" x14ac:dyDescent="0.35">
      <c r="B6" s="224" t="str">
        <f>Data!C3</f>
        <v>Asian Paints</v>
      </c>
      <c r="C6" s="225" t="s">
        <v>344</v>
      </c>
      <c r="D6" s="226">
        <f>Data!D3</f>
        <v>2536.1</v>
      </c>
      <c r="E6" s="227">
        <f>Data!E3</f>
        <v>95.92</v>
      </c>
      <c r="F6" s="226">
        <f>D6*E6</f>
        <v>243262.712</v>
      </c>
      <c r="G6" s="226">
        <f>Data!G3</f>
        <v>2290.29</v>
      </c>
      <c r="H6" s="226">
        <f>Data!I3</f>
        <v>244770.45</v>
      </c>
      <c r="I6" s="228"/>
      <c r="J6" s="228"/>
      <c r="K6" s="229">
        <f>Data!J3</f>
        <v>33874.44</v>
      </c>
      <c r="L6" s="226">
        <f>Data!K3</f>
        <v>6687.7172131147545</v>
      </c>
      <c r="M6" s="226">
        <f>Data!M3</f>
        <v>3639.97</v>
      </c>
      <c r="N6" s="226"/>
      <c r="O6" s="230">
        <f>$H6/K6</f>
        <v>7.2258153935533693</v>
      </c>
      <c r="P6" s="230">
        <f>$H6/L6</f>
        <v>36.6</v>
      </c>
      <c r="Q6" s="230">
        <f>F6/M6</f>
        <v>66.830966189281781</v>
      </c>
    </row>
    <row r="7" spans="2:20" x14ac:dyDescent="0.35">
      <c r="B7" s="213" t="str">
        <f>Data!C4</f>
        <v>Berger Paints</v>
      </c>
      <c r="C7" s="214" t="s">
        <v>345</v>
      </c>
      <c r="D7" s="215">
        <f>Data!D4</f>
        <v>532.5</v>
      </c>
      <c r="E7" s="216">
        <f>Data!E4</f>
        <v>116.59</v>
      </c>
      <c r="F7" s="215">
        <f t="shared" ref="F7:F15" si="0">D7*E7</f>
        <v>62084.175000000003</v>
      </c>
      <c r="G7" s="215">
        <f>Data!G4</f>
        <v>670.27</v>
      </c>
      <c r="H7" s="215">
        <f>Data!I4</f>
        <v>62253.72</v>
      </c>
      <c r="I7" s="215"/>
      <c r="J7" s="215"/>
      <c r="K7" s="217">
        <f>Data!J4</f>
        <v>11654.46</v>
      </c>
      <c r="L7" s="215">
        <f>Data!K4</f>
        <v>1985.7645933014353</v>
      </c>
      <c r="M7" s="215">
        <f>Data!M4</f>
        <v>1143.82</v>
      </c>
      <c r="N7" s="215"/>
      <c r="O7" s="218">
        <f t="shared" ref="O7:P15" si="1">$H7/K7</f>
        <v>5.3416220056527717</v>
      </c>
      <c r="P7" s="218">
        <f t="shared" si="1"/>
        <v>31.35</v>
      </c>
      <c r="Q7" s="218">
        <f t="shared" ref="Q7:Q15" si="2">F7/M7</f>
        <v>54.277923974051866</v>
      </c>
    </row>
    <row r="8" spans="2:20" x14ac:dyDescent="0.35">
      <c r="B8" s="213" t="str">
        <f>Data!C5</f>
        <v>Kansai Nerolac</v>
      </c>
      <c r="C8" s="214" t="s">
        <v>346</v>
      </c>
      <c r="D8" s="215">
        <f>Data!D5</f>
        <v>245.85</v>
      </c>
      <c r="E8" s="216">
        <f>Data!E5</f>
        <v>80.849999999999994</v>
      </c>
      <c r="F8" s="215">
        <f t="shared" si="0"/>
        <v>19876.9725</v>
      </c>
      <c r="G8" s="215">
        <f>Data!G5</f>
        <v>296.39</v>
      </c>
      <c r="H8" s="215">
        <f>Data!I5</f>
        <v>19883.37</v>
      </c>
      <c r="I8" s="215"/>
      <c r="J8" s="215"/>
      <c r="K8" s="217">
        <f>Data!J5</f>
        <v>7851.94</v>
      </c>
      <c r="L8" s="215">
        <f>Data!K5</f>
        <v>1073.616090712743</v>
      </c>
      <c r="M8" s="215">
        <f>Data!M5</f>
        <v>1100.05</v>
      </c>
      <c r="N8" s="215"/>
      <c r="O8" s="218">
        <f t="shared" si="1"/>
        <v>2.5322875620547278</v>
      </c>
      <c r="P8" s="218">
        <f t="shared" si="1"/>
        <v>18.52</v>
      </c>
      <c r="Q8" s="218">
        <f t="shared" si="2"/>
        <v>18.069153674832961</v>
      </c>
    </row>
    <row r="9" spans="2:20" x14ac:dyDescent="0.35">
      <c r="B9" s="213" t="str">
        <f>Data!C6</f>
        <v>Akzo Nobel</v>
      </c>
      <c r="C9" s="214" t="s">
        <v>347</v>
      </c>
      <c r="D9" s="215">
        <f>Data!D6</f>
        <v>3389.75</v>
      </c>
      <c r="E9" s="216">
        <f>Data!E6</f>
        <v>4.55</v>
      </c>
      <c r="F9" s="215">
        <f t="shared" si="0"/>
        <v>15423.362499999999</v>
      </c>
      <c r="G9" s="215">
        <f>Data!G6</f>
        <v>62.1</v>
      </c>
      <c r="H9" s="215">
        <f>Data!I6</f>
        <v>15199.63</v>
      </c>
      <c r="I9" s="215"/>
      <c r="J9" s="215"/>
      <c r="K9" s="217">
        <f>Data!J6</f>
        <v>4050</v>
      </c>
      <c r="L9" s="215">
        <f>Data!K6</f>
        <v>633.58190912880366</v>
      </c>
      <c r="M9" s="215">
        <f>Data!M6</f>
        <v>405</v>
      </c>
      <c r="N9" s="215"/>
      <c r="O9" s="218">
        <f t="shared" si="1"/>
        <v>3.7529950617283947</v>
      </c>
      <c r="P9" s="218">
        <f t="shared" si="1"/>
        <v>23.99</v>
      </c>
      <c r="Q9" s="218">
        <f t="shared" si="2"/>
        <v>38.082376543209875</v>
      </c>
    </row>
    <row r="10" spans="2:20" x14ac:dyDescent="0.35">
      <c r="B10" s="213" t="str">
        <f>Data!C7</f>
        <v>Indigo Paints</v>
      </c>
      <c r="C10" s="214" t="s">
        <v>348</v>
      </c>
      <c r="D10" s="215">
        <f>Data!D7</f>
        <v>1130</v>
      </c>
      <c r="E10" s="216">
        <f>Data!E7</f>
        <v>4.76</v>
      </c>
      <c r="F10" s="215">
        <f t="shared" si="0"/>
        <v>5378.8</v>
      </c>
      <c r="G10" s="215">
        <f>Data!G7</f>
        <v>19.7</v>
      </c>
      <c r="H10" s="215">
        <f>Data!I7</f>
        <v>5365.34</v>
      </c>
      <c r="I10" s="215"/>
      <c r="J10" s="215"/>
      <c r="K10" s="217">
        <f>Data!J7</f>
        <v>1278.0999999999999</v>
      </c>
      <c r="L10" s="215">
        <f>Data!K7</f>
        <v>248.51042149143123</v>
      </c>
      <c r="M10" s="215">
        <f>Data!M7</f>
        <v>143.84</v>
      </c>
      <c r="N10" s="215"/>
      <c r="O10" s="218">
        <f t="shared" si="1"/>
        <v>4.197903137469682</v>
      </c>
      <c r="P10" s="218">
        <f t="shared" si="1"/>
        <v>21.59</v>
      </c>
      <c r="Q10" s="218">
        <f t="shared" si="2"/>
        <v>37.394327030033374</v>
      </c>
    </row>
    <row r="11" spans="2:20" x14ac:dyDescent="0.35">
      <c r="B11" s="213" t="str">
        <f>Data!C8</f>
        <v>Sirca Paints</v>
      </c>
      <c r="C11" s="214" t="s">
        <v>349</v>
      </c>
      <c r="D11" s="215">
        <f>Data!D8</f>
        <v>461.75</v>
      </c>
      <c r="E11" s="216">
        <f>Data!E8</f>
        <v>5.48</v>
      </c>
      <c r="F11" s="215">
        <f t="shared" si="0"/>
        <v>2530.3900000000003</v>
      </c>
      <c r="G11" s="215">
        <f>Data!G8</f>
        <v>8.33</v>
      </c>
      <c r="H11" s="215">
        <f>Data!I8</f>
        <v>2484.9499999999998</v>
      </c>
      <c r="I11" s="215"/>
      <c r="J11" s="215"/>
      <c r="K11" s="217">
        <f>Data!J8</f>
        <v>409.37</v>
      </c>
      <c r="L11" s="215">
        <f>Data!K8</f>
        <v>79.901929260450146</v>
      </c>
      <c r="M11" s="215">
        <f>Data!M8</f>
        <v>53.05</v>
      </c>
      <c r="N11" s="215"/>
      <c r="O11" s="218">
        <f t="shared" si="1"/>
        <v>6.0701810098443945</v>
      </c>
      <c r="P11" s="218">
        <f t="shared" si="1"/>
        <v>31.100000000000005</v>
      </c>
      <c r="Q11" s="218">
        <f t="shared" si="2"/>
        <v>47.698209236569284</v>
      </c>
    </row>
    <row r="12" spans="2:20" x14ac:dyDescent="0.35">
      <c r="B12" s="213" t="str">
        <f>Data!C9</f>
        <v>Shalimar Paints</v>
      </c>
      <c r="C12" s="214" t="s">
        <v>350</v>
      </c>
      <c r="D12" s="215">
        <f>Data!D9</f>
        <v>74</v>
      </c>
      <c r="E12" s="216">
        <f>Data!E9</f>
        <v>8.3699999999999992</v>
      </c>
      <c r="F12" s="215">
        <f t="shared" si="0"/>
        <v>619.38</v>
      </c>
      <c r="G12" s="215">
        <f>Data!G9</f>
        <v>163.86</v>
      </c>
      <c r="H12" s="215">
        <f>Data!I9</f>
        <v>737.89</v>
      </c>
      <c r="I12" s="215"/>
      <c r="J12" s="215"/>
      <c r="K12" s="217">
        <f>Data!J9</f>
        <v>624.19000000000005</v>
      </c>
      <c r="L12" s="215">
        <f>Data!K9</f>
        <v>-32.520493609519612</v>
      </c>
      <c r="M12" s="215">
        <f>Data!M9</f>
        <v>-69.790000000000006</v>
      </c>
      <c r="N12" s="215"/>
      <c r="O12" s="218">
        <f t="shared" si="1"/>
        <v>1.1821560742722568</v>
      </c>
      <c r="P12" s="218">
        <f t="shared" si="1"/>
        <v>-22.69</v>
      </c>
      <c r="Q12" s="218">
        <f t="shared" si="2"/>
        <v>-8.8749104456225805</v>
      </c>
    </row>
    <row r="13" spans="2:20" x14ac:dyDescent="0.35">
      <c r="B13" s="213" t="str">
        <f>Data!C10</f>
        <v>Kamdhenu Venture</v>
      </c>
      <c r="C13" s="214" t="s">
        <v>351</v>
      </c>
      <c r="D13" s="215">
        <f>Data!D10</f>
        <v>9.06</v>
      </c>
      <c r="E13" s="216">
        <f>Data!E10</f>
        <v>31.44</v>
      </c>
      <c r="F13" s="215">
        <f t="shared" si="0"/>
        <v>284.84640000000002</v>
      </c>
      <c r="G13" s="215">
        <f>Data!G10</f>
        <v>26.98</v>
      </c>
      <c r="H13" s="215">
        <f>Data!I10</f>
        <v>305.89</v>
      </c>
      <c r="I13" s="215"/>
      <c r="J13" s="215"/>
      <c r="K13" s="217">
        <f>Data!J10</f>
        <v>261.89</v>
      </c>
      <c r="L13" s="215">
        <f>Data!K10</f>
        <v>16.770285087719298</v>
      </c>
      <c r="M13" s="215">
        <f>Data!M10</f>
        <v>5.94</v>
      </c>
      <c r="N13" s="215"/>
      <c r="O13" s="218">
        <f t="shared" si="1"/>
        <v>1.1680094696246517</v>
      </c>
      <c r="P13" s="218">
        <f t="shared" si="1"/>
        <v>18.239999999999998</v>
      </c>
      <c r="Q13" s="218">
        <f t="shared" si="2"/>
        <v>47.953939393939393</v>
      </c>
    </row>
    <row r="14" spans="2:20" x14ac:dyDescent="0.35">
      <c r="B14" s="213" t="str">
        <f>Data!C11</f>
        <v>Siddhika Coatins</v>
      </c>
      <c r="C14" s="214" t="s">
        <v>352</v>
      </c>
      <c r="D14" s="215">
        <f>Data!D11</f>
        <v>200.5</v>
      </c>
      <c r="E14" s="216">
        <f>Data!E11</f>
        <v>0.62</v>
      </c>
      <c r="F14" s="215">
        <f t="shared" si="0"/>
        <v>124.31</v>
      </c>
      <c r="G14" s="215">
        <f>Data!G11</f>
        <v>0</v>
      </c>
      <c r="H14" s="215">
        <f>Data!I11</f>
        <v>118.13</v>
      </c>
      <c r="I14" s="215"/>
      <c r="J14" s="215"/>
      <c r="K14" s="217">
        <f>Data!J11</f>
        <v>48.01</v>
      </c>
      <c r="L14" s="215">
        <f>Data!K11</f>
        <v>10.435512367491166</v>
      </c>
      <c r="M14" s="215">
        <f>Data!M11</f>
        <v>8.0299999999999994</v>
      </c>
      <c r="N14" s="215"/>
      <c r="O14" s="218">
        <f t="shared" si="1"/>
        <v>2.4605290564465738</v>
      </c>
      <c r="P14" s="218">
        <f t="shared" si="1"/>
        <v>11.32</v>
      </c>
      <c r="Q14" s="218">
        <f t="shared" si="2"/>
        <v>15.480697384806975</v>
      </c>
    </row>
    <row r="15" spans="2:20" x14ac:dyDescent="0.35">
      <c r="B15" s="213" t="str">
        <f>Data!C12</f>
        <v>Retina Paints</v>
      </c>
      <c r="C15" s="213"/>
      <c r="D15" s="215">
        <f>Data!D12</f>
        <v>73</v>
      </c>
      <c r="E15" s="216">
        <f>Data!E12</f>
        <v>1.53</v>
      </c>
      <c r="F15" s="215">
        <f t="shared" si="0"/>
        <v>111.69</v>
      </c>
      <c r="G15" s="215">
        <f>Data!G12</f>
        <v>8.1199999999999992</v>
      </c>
      <c r="H15" s="215">
        <f>Data!I12</f>
        <v>119.78</v>
      </c>
      <c r="I15" s="215"/>
      <c r="J15" s="215"/>
      <c r="K15" s="217">
        <f>Data!J12</f>
        <v>11.66</v>
      </c>
      <c r="L15" s="215">
        <f>Data!K12</f>
        <v>2.0198988195615515</v>
      </c>
      <c r="M15" s="215">
        <f>Data!M12</f>
        <v>0.74</v>
      </c>
      <c r="N15" s="215"/>
      <c r="O15" s="218">
        <f t="shared" si="1"/>
        <v>10.272727272727273</v>
      </c>
      <c r="P15" s="218">
        <f t="shared" si="1"/>
        <v>59.3</v>
      </c>
      <c r="Q15" s="218">
        <f t="shared" si="2"/>
        <v>150.93243243243242</v>
      </c>
    </row>
    <row r="17" spans="2:17" x14ac:dyDescent="0.35">
      <c r="B17" s="219" t="s">
        <v>353</v>
      </c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2">
        <f>MAX(O6:O15)</f>
        <v>10.272727272727273</v>
      </c>
      <c r="P17" s="212">
        <f t="shared" ref="P17:Q17" si="3">MAX(P6:P15)</f>
        <v>59.3</v>
      </c>
      <c r="Q17" s="212">
        <f t="shared" si="3"/>
        <v>150.93243243243242</v>
      </c>
    </row>
    <row r="18" spans="2:17" x14ac:dyDescent="0.35">
      <c r="B18" s="219" t="s">
        <v>354</v>
      </c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2">
        <f>QUARTILE(O6:O15,)</f>
        <v>1.1680094696246517</v>
      </c>
      <c r="P18" s="212">
        <f t="shared" ref="P18:Q18" si="4">QUARTILE(P6:P15,)</f>
        <v>-22.69</v>
      </c>
      <c r="Q18" s="212">
        <f t="shared" si="4"/>
        <v>-8.8749104456225805</v>
      </c>
    </row>
    <row r="19" spans="2:17" x14ac:dyDescent="0.35">
      <c r="B19" s="220" t="s">
        <v>206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1">
        <f>AVERAGE(O6:O15)</f>
        <v>4.4204226043374097</v>
      </c>
      <c r="P19" s="221">
        <f t="shared" ref="P19:Q19" si="5">AVERAGE(P6:P15)</f>
        <v>22.931999999999999</v>
      </c>
      <c r="Q19" s="221">
        <f t="shared" si="5"/>
        <v>46.784511541353538</v>
      </c>
    </row>
    <row r="20" spans="2:17" x14ac:dyDescent="0.35">
      <c r="B20" s="220" t="s">
        <v>169</v>
      </c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1">
        <f>MEDIAN(O6:O15)</f>
        <v>3.9754490995990386</v>
      </c>
      <c r="P20" s="221">
        <f t="shared" ref="P20:Q20" si="6">MEDIAN(P6:P15)</f>
        <v>22.79</v>
      </c>
      <c r="Q20" s="221">
        <f t="shared" si="6"/>
        <v>42.890292889889579</v>
      </c>
    </row>
    <row r="21" spans="2:17" x14ac:dyDescent="0.35">
      <c r="B21" s="219" t="s">
        <v>355</v>
      </c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2">
        <f>QUARTILE(O6:O15,1)</f>
        <v>2.4784686828486122</v>
      </c>
      <c r="P21" s="212">
        <f t="shared" ref="P21:Q21" si="7">QUARTILE(P6:P15,1)</f>
        <v>18.309999999999999</v>
      </c>
      <c r="Q21" s="212">
        <f t="shared" si="7"/>
        <v>22.900447013633062</v>
      </c>
    </row>
    <row r="22" spans="2:17" x14ac:dyDescent="0.35">
      <c r="B22" s="219" t="s">
        <v>356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2">
        <f>MIN(O6:O15)</f>
        <v>1.1680094696246517</v>
      </c>
      <c r="P22" s="212">
        <f t="shared" ref="P22:Q22" si="8">MIN(P6:P15)</f>
        <v>-22.69</v>
      </c>
      <c r="Q22" s="212">
        <f t="shared" si="8"/>
        <v>-8.8749104456225805</v>
      </c>
    </row>
    <row r="24" spans="2:17" x14ac:dyDescent="0.35">
      <c r="B24" s="21" t="str">
        <f>$B$6&amp;" Comparable Valuation"</f>
        <v>Asian Paints Comparable Valuation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34" t="s">
        <v>322</v>
      </c>
      <c r="P24" s="234" t="s">
        <v>323</v>
      </c>
      <c r="Q24" s="159" t="s">
        <v>324</v>
      </c>
    </row>
    <row r="25" spans="2:17" ht="3" customHeight="1" x14ac:dyDescent="0.35"/>
    <row r="26" spans="2:17" x14ac:dyDescent="0.35">
      <c r="B26" s="222" t="s">
        <v>357</v>
      </c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33">
        <f>K6</f>
        <v>33874.44</v>
      </c>
      <c r="P26" s="233">
        <f t="shared" ref="P26" si="9">L6</f>
        <v>6687.7172131147545</v>
      </c>
      <c r="Q26" s="233">
        <f>Q28+Q27</f>
        <v>158409.66941041138</v>
      </c>
    </row>
    <row r="27" spans="2:17" x14ac:dyDescent="0.35">
      <c r="B27" s="213" t="s">
        <v>358</v>
      </c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5">
        <f>$G$6</f>
        <v>2290.29</v>
      </c>
      <c r="P27" s="215">
        <f t="shared" ref="P27:Q27" si="10">$G$6</f>
        <v>2290.29</v>
      </c>
      <c r="Q27" s="215">
        <f t="shared" si="10"/>
        <v>2290.29</v>
      </c>
    </row>
    <row r="28" spans="2:17" x14ac:dyDescent="0.35">
      <c r="B28" s="213" t="s">
        <v>359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5">
        <f>O26-O27</f>
        <v>31584.15</v>
      </c>
      <c r="P28" s="215">
        <f t="shared" ref="P28" si="11">P26-P27</f>
        <v>4397.4272131147545</v>
      </c>
      <c r="Q28" s="215">
        <f>M6*Q20</f>
        <v>156119.37941041138</v>
      </c>
    </row>
    <row r="29" spans="2:17" x14ac:dyDescent="0.35">
      <c r="B29" s="223" t="s">
        <v>360</v>
      </c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31">
        <f>$E$6</f>
        <v>95.92</v>
      </c>
      <c r="P29" s="231">
        <f t="shared" ref="P29:Q29" si="12">$E$6</f>
        <v>95.92</v>
      </c>
      <c r="Q29" s="231">
        <f t="shared" si="12"/>
        <v>95.92</v>
      </c>
    </row>
    <row r="30" spans="2:17" ht="15" thickBot="1" x14ac:dyDescent="0.4">
      <c r="B30" s="211" t="s">
        <v>361</v>
      </c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32">
        <f>O28/O29</f>
        <v>329.27595913261052</v>
      </c>
      <c r="P30" s="232">
        <f t="shared" ref="P30:Q30" si="13">P28/P29</f>
        <v>45.844737417793517</v>
      </c>
      <c r="Q30" s="232">
        <f t="shared" si="13"/>
        <v>1627.599868749076</v>
      </c>
    </row>
    <row r="32" spans="2:17" x14ac:dyDescent="0.35">
      <c r="O32" s="98" t="str">
        <f>IF(O30&gt;D6,"Undervalued","Overvalued")</f>
        <v>Overvalued</v>
      </c>
      <c r="P32" s="98" t="str">
        <f t="shared" ref="P32:Q32" si="14">IF(P30&gt;E6,"Undervalued","Overvalued")</f>
        <v>Overvalued</v>
      </c>
      <c r="Q32" s="98" t="str">
        <f t="shared" si="14"/>
        <v>Overvalued</v>
      </c>
    </row>
  </sheetData>
  <mergeCells count="3">
    <mergeCell ref="K4:M4"/>
    <mergeCell ref="O4:Q4"/>
    <mergeCell ref="C4:I4"/>
  </mergeCells>
  <hyperlinks>
    <hyperlink ref="C6" r:id="rId1" display="https://www.nseindia.com/get-quotes/equity?symbol=ASIANPAINT" xr:uid="{13C7AD22-E2CB-48FA-8A14-40BCD2647251}"/>
    <hyperlink ref="C7" r:id="rId2" display="https://www.nseindia.com/get-quotes/equity?symbol=BERGEPAINT" xr:uid="{586A35F7-6FBC-4C68-AA71-155B47E4FFB6}"/>
    <hyperlink ref="C8" r:id="rId3" display="https://www.nseindia.com/get-quotes/equity?symbol=KANSAINER" xr:uid="{257D923E-6A5D-4D35-B8B7-8B7D99C5282A}"/>
    <hyperlink ref="C9" r:id="rId4" display="https://www.nseindia.com/get-quotes/equity?symbol=AKZOINDIA" xr:uid="{EAEC785D-0BF8-4764-B53E-6277D8D510E9}"/>
    <hyperlink ref="C10" r:id="rId5" display="https://www.nseindia.com/get-quotes/equity?symbol=INDIGOPNTS" xr:uid="{B75BF242-D01F-49BD-8FB0-3C574ADE7498}"/>
    <hyperlink ref="C11" r:id="rId6" display="https://www.nseindia.com/get-quotes/equity?symbol=SIRCA" xr:uid="{41804DFF-A889-4777-B8FB-72C7F415E805}"/>
    <hyperlink ref="C12" r:id="rId7" display="https://www.nseindia.com/get-quotes/equity?symbol=SHALPAINTS" xr:uid="{E42CD694-D30B-4882-9676-B4327FF28B7A}"/>
    <hyperlink ref="C13" r:id="rId8" display="https://www.nseindia.com/get-quotes/equity?symbol=KAMOPAINTS" xr:uid="{1D4C1ACD-2845-47EF-9C7C-DFA362EC3C3A}"/>
    <hyperlink ref="C14" r:id="rId9" display="https://www.nseindia.com/get-quotes/equity?symbol=SIDDHIKA" xr:uid="{5F866AB8-E99A-4087-914D-A9A5B1E0C2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1735-3A9D-4FBA-A5FA-97611D2DC92D}">
  <dimension ref="B2:M28"/>
  <sheetViews>
    <sheetView showGridLines="0" workbookViewId="0">
      <selection activeCell="K14" sqref="K14"/>
    </sheetView>
  </sheetViews>
  <sheetFormatPr defaultRowHeight="14.5" x14ac:dyDescent="0.35"/>
  <cols>
    <col min="1" max="1" width="1.81640625" customWidth="1"/>
    <col min="2" max="2" width="8.7265625" customWidth="1"/>
    <col min="8" max="8" width="12.1796875" bestFit="1" customWidth="1"/>
    <col min="13" max="13" width="19" bestFit="1" customWidth="1"/>
  </cols>
  <sheetData>
    <row r="2" spans="2:9" x14ac:dyDescent="0.35">
      <c r="B2" s="162"/>
      <c r="C2" s="263" t="s">
        <v>362</v>
      </c>
      <c r="D2" s="263"/>
      <c r="E2" s="263"/>
      <c r="F2" s="263"/>
      <c r="G2" s="263"/>
      <c r="H2" s="263"/>
      <c r="I2" s="162"/>
    </row>
    <row r="3" spans="2:9" x14ac:dyDescent="0.35">
      <c r="B3" s="162"/>
      <c r="C3" s="263"/>
      <c r="D3" s="263"/>
      <c r="E3" s="263"/>
      <c r="F3" s="263"/>
      <c r="G3" s="263"/>
      <c r="H3" s="263"/>
      <c r="I3" s="162"/>
    </row>
    <row r="20" spans="2:13" x14ac:dyDescent="0.35">
      <c r="B20" s="21" t="s">
        <v>370</v>
      </c>
      <c r="C20" s="239"/>
      <c r="D20" s="239"/>
      <c r="E20" s="239"/>
      <c r="F20" s="239"/>
      <c r="G20" s="239"/>
      <c r="H20" s="239"/>
      <c r="I20" s="239"/>
    </row>
    <row r="21" spans="2:13" x14ac:dyDescent="0.35">
      <c r="M21">
        <v>1771</v>
      </c>
    </row>
    <row r="22" spans="2:13" x14ac:dyDescent="0.35">
      <c r="M22" s="5">
        <v>0.1105</v>
      </c>
    </row>
    <row r="23" spans="2:13" x14ac:dyDescent="0.35">
      <c r="C23" s="238" t="s">
        <v>363</v>
      </c>
      <c r="D23" s="238" t="s">
        <v>356</v>
      </c>
      <c r="E23" s="238" t="s">
        <v>364</v>
      </c>
      <c r="F23" s="238" t="s">
        <v>353</v>
      </c>
      <c r="M23" s="5">
        <v>4.4999999999999998E-2</v>
      </c>
    </row>
    <row r="24" spans="2:13" x14ac:dyDescent="0.35">
      <c r="B24" s="237" t="s">
        <v>365</v>
      </c>
      <c r="C24" s="108">
        <v>45.8</v>
      </c>
      <c r="D24" s="108">
        <v>45.8</v>
      </c>
      <c r="E24" s="108">
        <v>329</v>
      </c>
      <c r="F24" s="108">
        <v>329</v>
      </c>
    </row>
    <row r="25" spans="2:13" x14ac:dyDescent="0.35">
      <c r="B25" s="237" t="s">
        <v>366</v>
      </c>
      <c r="C25">
        <v>202</v>
      </c>
      <c r="D25">
        <v>202</v>
      </c>
      <c r="E25">
        <v>229</v>
      </c>
      <c r="F25">
        <v>229</v>
      </c>
      <c r="M25" s="108">
        <f>M21/M22-M23</f>
        <v>16027.104321266968</v>
      </c>
    </row>
    <row r="26" spans="2:13" x14ac:dyDescent="0.35">
      <c r="B26" s="237" t="s">
        <v>367</v>
      </c>
      <c r="C26">
        <v>246</v>
      </c>
      <c r="D26">
        <v>246</v>
      </c>
      <c r="E26">
        <v>293</v>
      </c>
      <c r="F26">
        <v>293</v>
      </c>
    </row>
    <row r="27" spans="2:13" x14ac:dyDescent="0.35">
      <c r="B27" s="237" t="s">
        <v>368</v>
      </c>
      <c r="C27">
        <v>229</v>
      </c>
      <c r="D27">
        <v>229</v>
      </c>
      <c r="E27">
        <v>267</v>
      </c>
      <c r="F27">
        <v>267</v>
      </c>
    </row>
    <row r="28" spans="2:13" x14ac:dyDescent="0.35">
      <c r="B28" s="237" t="s">
        <v>369</v>
      </c>
      <c r="C28">
        <v>198</v>
      </c>
      <c r="D28">
        <v>198</v>
      </c>
      <c r="E28">
        <v>300</v>
      </c>
      <c r="F28">
        <v>300</v>
      </c>
    </row>
  </sheetData>
  <mergeCells count="1">
    <mergeCell ref="C2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D442-4C30-4AF3-855F-83EA97A2DCB0}">
  <dimension ref="B2:T48"/>
  <sheetViews>
    <sheetView showGridLines="0" zoomScaleNormal="100" workbookViewId="0">
      <selection activeCell="G27" sqref="G27:L32"/>
    </sheetView>
  </sheetViews>
  <sheetFormatPr defaultRowHeight="14.5" outlineLevelRow="1" x14ac:dyDescent="0.35"/>
  <cols>
    <col min="1" max="1" width="1.81640625" customWidth="1"/>
    <col min="2" max="2" width="19.81640625" customWidth="1"/>
    <col min="4" max="4" width="8.36328125" bestFit="1" customWidth="1"/>
    <col min="5" max="5" width="11.81640625" bestFit="1" customWidth="1"/>
    <col min="7" max="7" width="10.81640625" bestFit="1" customWidth="1"/>
    <col min="8" max="10" width="9.54296875" bestFit="1" customWidth="1"/>
    <col min="11" max="12" width="9.26953125" bestFit="1" customWidth="1"/>
    <col min="13" max="13" width="11.81640625" bestFit="1" customWidth="1"/>
    <col min="15" max="15" width="10.81640625" bestFit="1" customWidth="1"/>
  </cols>
  <sheetData>
    <row r="2" spans="2:15" x14ac:dyDescent="0.35">
      <c r="B2" s="264" t="str">
        <f>"Discounted Cash-Flow - "&amp;'Profit &amp; Loss'!$A$1</f>
        <v>Discounted Cash-Flow - ASIAN PAINTS LTD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</row>
    <row r="3" spans="2:15" x14ac:dyDescent="0.35"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</row>
    <row r="5" spans="2:15" x14ac:dyDescent="0.35">
      <c r="B5" s="21" t="s">
        <v>294</v>
      </c>
      <c r="C5" s="21"/>
      <c r="D5" s="21"/>
      <c r="E5" s="21"/>
      <c r="F5" s="21"/>
      <c r="G5" s="198">
        <f>FS!J5</f>
        <v>44651</v>
      </c>
      <c r="H5" s="198">
        <f>FS!K5</f>
        <v>45016</v>
      </c>
      <c r="I5" s="198">
        <f>FS!L5</f>
        <v>45382</v>
      </c>
      <c r="J5" s="198">
        <f>FS!M5</f>
        <v>45747</v>
      </c>
      <c r="K5" s="199">
        <f>J5+365</f>
        <v>46112</v>
      </c>
      <c r="L5" s="199">
        <f t="shared" ref="L5:O5" si="0">K5+365</f>
        <v>46477</v>
      </c>
      <c r="M5" s="199">
        <f>L5+366</f>
        <v>46843</v>
      </c>
      <c r="N5" s="199">
        <f t="shared" si="0"/>
        <v>47208</v>
      </c>
      <c r="O5" s="199">
        <f t="shared" si="0"/>
        <v>47573</v>
      </c>
    </row>
    <row r="7" spans="2:15" x14ac:dyDescent="0.35">
      <c r="B7" t="s">
        <v>85</v>
      </c>
      <c r="G7" s="200">
        <f>FS!D27</f>
        <v>2662.8500000000026</v>
      </c>
      <c r="H7" s="200">
        <f>FS!E27</f>
        <v>2996.8700000000003</v>
      </c>
      <c r="I7" s="200">
        <f>FS!F27</f>
        <v>3179.95</v>
      </c>
      <c r="J7" s="200">
        <f>FS!G27</f>
        <v>3416.5700000000024</v>
      </c>
      <c r="K7" s="200">
        <f>J7*(1+$C$23)</f>
        <v>4364.0770256760725</v>
      </c>
      <c r="L7" s="200">
        <f>K7*(1+$C$23)</f>
        <v>5574.3533093230062</v>
      </c>
      <c r="M7" s="200">
        <f>L7*(1+$C$23)</f>
        <v>7120.2718545845401</v>
      </c>
      <c r="N7" s="200">
        <f>M7*(1+$C$23)</f>
        <v>9094.9153148216865</v>
      </c>
      <c r="O7" s="200">
        <f>N7*(1+$C$23)</f>
        <v>11617.180674150613</v>
      </c>
    </row>
    <row r="8" spans="2:15" x14ac:dyDescent="0.35">
      <c r="G8" s="200"/>
      <c r="H8" s="200"/>
      <c r="I8" s="200"/>
      <c r="J8" s="200"/>
      <c r="K8" s="200"/>
      <c r="L8" s="200"/>
      <c r="M8" s="200"/>
      <c r="N8" s="200"/>
      <c r="O8" s="200"/>
    </row>
    <row r="9" spans="2:15" x14ac:dyDescent="0.35">
      <c r="B9" t="s">
        <v>194</v>
      </c>
      <c r="G9" s="149">
        <v>0.3</v>
      </c>
      <c r="H9" s="92">
        <f>G9</f>
        <v>0.3</v>
      </c>
      <c r="I9" s="92">
        <f t="shared" ref="I9:O9" si="1">H9</f>
        <v>0.3</v>
      </c>
      <c r="J9" s="92">
        <f t="shared" si="1"/>
        <v>0.3</v>
      </c>
      <c r="K9" s="92">
        <f t="shared" si="1"/>
        <v>0.3</v>
      </c>
      <c r="L9" s="92">
        <f t="shared" si="1"/>
        <v>0.3</v>
      </c>
      <c r="M9" s="92">
        <f t="shared" si="1"/>
        <v>0.3</v>
      </c>
      <c r="N9" s="92">
        <f t="shared" si="1"/>
        <v>0.3</v>
      </c>
      <c r="O9" s="92">
        <f t="shared" si="1"/>
        <v>0.3</v>
      </c>
    </row>
    <row r="10" spans="2:15" x14ac:dyDescent="0.35">
      <c r="G10" s="200"/>
      <c r="H10" s="200"/>
      <c r="I10" s="200"/>
      <c r="J10" s="200"/>
      <c r="K10" s="200"/>
      <c r="L10" s="200"/>
      <c r="M10" s="200"/>
      <c r="N10" s="200"/>
      <c r="O10" s="200"/>
    </row>
    <row r="11" spans="2:15" x14ac:dyDescent="0.35">
      <c r="B11" t="s">
        <v>288</v>
      </c>
      <c r="G11" s="200">
        <f>G7*(1-G9)</f>
        <v>1863.9950000000017</v>
      </c>
      <c r="H11" s="200">
        <f t="shared" ref="H11:O11" si="2">H7*(1-H9)</f>
        <v>2097.8090000000002</v>
      </c>
      <c r="I11" s="200">
        <f t="shared" si="2"/>
        <v>2225.9649999999997</v>
      </c>
      <c r="J11" s="200">
        <f t="shared" si="2"/>
        <v>2391.5990000000015</v>
      </c>
      <c r="K11" s="200">
        <f t="shared" si="2"/>
        <v>3054.8539179732506</v>
      </c>
      <c r="L11" s="200">
        <f t="shared" si="2"/>
        <v>3902.0473165261042</v>
      </c>
      <c r="M11" s="200">
        <f t="shared" si="2"/>
        <v>4984.1902982091779</v>
      </c>
      <c r="N11" s="200">
        <f t="shared" si="2"/>
        <v>6366.4407203751798</v>
      </c>
      <c r="O11" s="200">
        <f t="shared" si="2"/>
        <v>8132.0264719054285</v>
      </c>
    </row>
    <row r="12" spans="2:15" x14ac:dyDescent="0.35">
      <c r="G12" s="200"/>
      <c r="H12" s="200"/>
      <c r="I12" s="200"/>
      <c r="J12" s="200"/>
      <c r="K12" s="200"/>
      <c r="L12" s="200"/>
      <c r="M12" s="200"/>
      <c r="N12" s="200"/>
      <c r="O12" s="200"/>
    </row>
    <row r="13" spans="2:15" x14ac:dyDescent="0.35">
      <c r="B13" t="s">
        <v>295</v>
      </c>
      <c r="G13" s="92">
        <f>'Intrinsic Growth'!$G$52</f>
        <v>0.88786204334405827</v>
      </c>
      <c r="H13" s="92">
        <f>'Intrinsic Growth'!$G$52</f>
        <v>0.88786204334405827</v>
      </c>
      <c r="I13" s="92">
        <f>'Intrinsic Growth'!$G$52</f>
        <v>0.88786204334405827</v>
      </c>
      <c r="J13" s="92">
        <f>'Intrinsic Growth'!$G$52</f>
        <v>0.88786204334405827</v>
      </c>
      <c r="K13" s="92">
        <f>'Intrinsic Growth'!$G$52</f>
        <v>0.88786204334405827</v>
      </c>
      <c r="L13" s="92">
        <f>'Intrinsic Growth'!$G$52</f>
        <v>0.88786204334405827</v>
      </c>
      <c r="M13" s="92">
        <f>'Intrinsic Growth'!$G$52</f>
        <v>0.88786204334405827</v>
      </c>
      <c r="N13" s="92">
        <f>'Intrinsic Growth'!$G$52</f>
        <v>0.88786204334405827</v>
      </c>
      <c r="O13" s="92">
        <f>'Intrinsic Growth'!$G$52</f>
        <v>0.88786204334405827</v>
      </c>
    </row>
    <row r="14" spans="2:15" x14ac:dyDescent="0.35">
      <c r="G14" s="200"/>
      <c r="H14" s="200"/>
      <c r="I14" s="200"/>
      <c r="J14" s="200"/>
      <c r="K14" s="200"/>
      <c r="L14" s="200"/>
      <c r="M14" s="200"/>
      <c r="N14" s="200"/>
      <c r="O14" s="200"/>
    </row>
    <row r="15" spans="2:15" x14ac:dyDescent="0.35">
      <c r="B15" t="s">
        <v>296</v>
      </c>
      <c r="G15" s="200">
        <f>G11*(1-G13)</f>
        <v>209.02459051689229</v>
      </c>
      <c r="H15" s="200">
        <f t="shared" ref="H15:O15" si="3">H11*(1-H13)</f>
        <v>235.24401471444449</v>
      </c>
      <c r="I15" s="200">
        <f t="shared" si="3"/>
        <v>249.6151666876433</v>
      </c>
      <c r="J15" s="200">
        <f t="shared" si="3"/>
        <v>268.18902500039377</v>
      </c>
      <c r="K15" s="200">
        <f t="shared" si="3"/>
        <v>342.56507624391816</v>
      </c>
      <c r="L15" s="200">
        <f t="shared" si="3"/>
        <v>437.56761285003802</v>
      </c>
      <c r="M15" s="200">
        <f t="shared" si="3"/>
        <v>558.91691562554604</v>
      </c>
      <c r="N15" s="200">
        <f t="shared" si="3"/>
        <v>713.91965355405432</v>
      </c>
      <c r="O15" s="200">
        <f t="shared" si="3"/>
        <v>911.90883203150167</v>
      </c>
    </row>
    <row r="17" spans="2:20" x14ac:dyDescent="0.35">
      <c r="B17" t="s">
        <v>297</v>
      </c>
      <c r="G17" s="119"/>
      <c r="K17" s="119">
        <v>0.5</v>
      </c>
      <c r="L17">
        <f>K17+1</f>
        <v>1.5</v>
      </c>
      <c r="M17">
        <f t="shared" ref="M17:O17" si="4">L17+1</f>
        <v>2.5</v>
      </c>
      <c r="N17">
        <f t="shared" si="4"/>
        <v>3.5</v>
      </c>
      <c r="O17">
        <f t="shared" si="4"/>
        <v>4.5</v>
      </c>
    </row>
    <row r="19" spans="2:20" x14ac:dyDescent="0.35">
      <c r="B19" t="s">
        <v>298</v>
      </c>
      <c r="K19" s="121">
        <f>1/(1+$D$24)^K17</f>
        <v>1</v>
      </c>
      <c r="L19" s="121">
        <f t="shared" ref="L19:O19" si="5">1/(1+$D$24)^L17</f>
        <v>1</v>
      </c>
      <c r="M19" s="121">
        <f t="shared" si="5"/>
        <v>1</v>
      </c>
      <c r="N19" s="121">
        <f t="shared" si="5"/>
        <v>1</v>
      </c>
      <c r="O19" s="121">
        <f t="shared" si="5"/>
        <v>1</v>
      </c>
    </row>
    <row r="21" spans="2:20" ht="15" thickBot="1" x14ac:dyDescent="0.4">
      <c r="B21" s="196" t="s">
        <v>299</v>
      </c>
      <c r="C21" s="196"/>
      <c r="D21" s="196"/>
      <c r="E21" s="196"/>
      <c r="F21" s="196"/>
      <c r="G21" s="196"/>
      <c r="H21" s="196"/>
      <c r="I21" s="196"/>
      <c r="J21" s="196"/>
      <c r="K21" s="204">
        <f>K15*K19</f>
        <v>342.56507624391816</v>
      </c>
      <c r="L21" s="204">
        <f t="shared" ref="L21:O21" si="6">L15*L19</f>
        <v>437.56761285003802</v>
      </c>
      <c r="M21" s="204">
        <f t="shared" si="6"/>
        <v>558.91691562554604</v>
      </c>
      <c r="N21" s="204">
        <f t="shared" si="6"/>
        <v>713.91965355405432</v>
      </c>
      <c r="O21" s="204">
        <f t="shared" si="6"/>
        <v>911.90883203150167</v>
      </c>
    </row>
    <row r="23" spans="2:20" hidden="1" outlineLevel="1" x14ac:dyDescent="0.35">
      <c r="B23" s="201" t="s">
        <v>372</v>
      </c>
      <c r="C23" s="203">
        <f>'Intrinsic Growth'!G60</f>
        <v>0.27732697579035981</v>
      </c>
    </row>
    <row r="24" spans="2:20" hidden="1" outlineLevel="1" x14ac:dyDescent="0.35">
      <c r="B24" s="201" t="s">
        <v>373</v>
      </c>
      <c r="C24" s="202">
        <v>6.5000000000000002E-2</v>
      </c>
      <c r="D24" s="5"/>
    </row>
    <row r="25" spans="2:20" collapsed="1" x14ac:dyDescent="0.35"/>
    <row r="26" spans="2:20" x14ac:dyDescent="0.35">
      <c r="B26" s="21" t="s">
        <v>301</v>
      </c>
      <c r="C26" s="21"/>
      <c r="D26" s="21"/>
      <c r="E26" s="21"/>
      <c r="G26" s="236"/>
      <c r="H26" s="254"/>
      <c r="I26" s="249"/>
      <c r="J26" s="249"/>
      <c r="K26" s="249"/>
      <c r="L26" s="249"/>
      <c r="M26" s="249"/>
      <c r="O26" s="236"/>
      <c r="P26" s="247"/>
      <c r="Q26" s="247"/>
      <c r="R26" s="247"/>
      <c r="S26" s="247"/>
      <c r="T26" s="247"/>
    </row>
    <row r="27" spans="2:20" x14ac:dyDescent="0.35">
      <c r="G27" s="259"/>
      <c r="H27" s="258"/>
      <c r="I27" s="258"/>
      <c r="J27" s="258"/>
      <c r="K27" s="258"/>
      <c r="L27" s="258"/>
      <c r="M27" s="255"/>
      <c r="O27" s="246"/>
      <c r="P27" s="248"/>
      <c r="Q27" s="248"/>
      <c r="R27" s="248"/>
      <c r="S27" s="248"/>
      <c r="T27" s="248"/>
    </row>
    <row r="28" spans="2:20" x14ac:dyDescent="0.35">
      <c r="B28" t="s">
        <v>302</v>
      </c>
      <c r="E28" s="108">
        <f>O15*(1+C23)</f>
        <v>1164.8057506153173</v>
      </c>
      <c r="G28" s="257"/>
      <c r="H28" s="260"/>
      <c r="I28" s="255"/>
      <c r="J28" s="255"/>
      <c r="K28" s="255"/>
      <c r="L28" s="255"/>
      <c r="M28" s="255"/>
      <c r="N28" s="236"/>
      <c r="O28" s="251"/>
      <c r="P28" s="250"/>
      <c r="Q28" s="250"/>
      <c r="R28" s="250"/>
      <c r="S28" s="250"/>
      <c r="T28" s="248"/>
    </row>
    <row r="29" spans="2:20" x14ac:dyDescent="0.35">
      <c r="B29" t="s">
        <v>172</v>
      </c>
      <c r="E29" s="128">
        <v>0.1205</v>
      </c>
      <c r="G29" s="257"/>
      <c r="H29" s="260"/>
      <c r="I29" s="255"/>
      <c r="J29" s="255"/>
      <c r="K29" s="255"/>
      <c r="L29" s="255"/>
      <c r="M29" s="255"/>
      <c r="N29" s="5"/>
      <c r="O29" s="252"/>
      <c r="P29" s="253"/>
      <c r="Q29" s="253"/>
      <c r="R29" s="253"/>
      <c r="S29" s="253"/>
      <c r="T29" s="248"/>
    </row>
    <row r="30" spans="2:20" x14ac:dyDescent="0.35">
      <c r="B30" t="str">
        <f>B24</f>
        <v>Terminal Growth Rate</v>
      </c>
      <c r="E30" s="5">
        <v>6.5000000000000002E-2</v>
      </c>
      <c r="G30" s="257"/>
      <c r="H30" s="260"/>
      <c r="I30" s="255"/>
      <c r="J30" s="255"/>
      <c r="K30" s="255"/>
      <c r="L30" s="255"/>
      <c r="M30" s="255"/>
      <c r="N30" s="5"/>
      <c r="O30" s="252"/>
      <c r="P30" s="253"/>
      <c r="Q30" s="253"/>
      <c r="R30" s="253"/>
      <c r="S30" s="253"/>
      <c r="T30" s="248"/>
    </row>
    <row r="31" spans="2:20" x14ac:dyDescent="0.35">
      <c r="G31" s="257"/>
      <c r="H31" s="260"/>
      <c r="I31" s="255"/>
      <c r="J31" s="255"/>
      <c r="K31" s="255"/>
      <c r="L31" s="255"/>
      <c r="M31" s="255"/>
      <c r="N31" s="5"/>
      <c r="O31" s="252"/>
      <c r="P31" s="253"/>
      <c r="Q31" s="253"/>
      <c r="R31" s="253"/>
      <c r="S31" s="253"/>
      <c r="T31" s="248"/>
    </row>
    <row r="32" spans="2:20" ht="15" thickBot="1" x14ac:dyDescent="0.4">
      <c r="B32" s="196" t="s">
        <v>300</v>
      </c>
      <c r="C32" s="196"/>
      <c r="D32" s="196"/>
      <c r="E32" s="261">
        <f>E28/E29-E30</f>
        <v>9666.3727644424671</v>
      </c>
      <c r="G32" s="257"/>
      <c r="H32" s="256"/>
      <c r="I32" s="121"/>
      <c r="J32" s="121"/>
      <c r="K32" s="121"/>
      <c r="L32" s="121"/>
      <c r="M32" s="121"/>
      <c r="N32" s="5"/>
      <c r="O32" s="121"/>
      <c r="P32" s="121"/>
      <c r="Q32" s="121"/>
      <c r="R32" s="121"/>
      <c r="S32" s="121"/>
    </row>
    <row r="33" spans="2:19" x14ac:dyDescent="0.35">
      <c r="N33" s="5"/>
      <c r="O33" s="121"/>
      <c r="P33" s="121"/>
      <c r="Q33" s="121"/>
      <c r="R33" s="121"/>
      <c r="S33" s="121"/>
    </row>
    <row r="34" spans="2:19" x14ac:dyDescent="0.35">
      <c r="B34" s="21" t="s">
        <v>303</v>
      </c>
      <c r="C34" s="21"/>
      <c r="D34" s="21"/>
      <c r="E34" s="21"/>
    </row>
    <row r="36" spans="2:19" x14ac:dyDescent="0.35">
      <c r="B36" t="s">
        <v>299</v>
      </c>
      <c r="E36" s="108">
        <f>SUM(K21:O21)</f>
        <v>2964.8780903050583</v>
      </c>
    </row>
    <row r="37" spans="2:19" x14ac:dyDescent="0.35">
      <c r="B37" t="s">
        <v>304</v>
      </c>
      <c r="E37" s="108">
        <f>E32*O19</f>
        <v>9666.3727644424671</v>
      </c>
    </row>
    <row r="38" spans="2:19" ht="15" thickBot="1" x14ac:dyDescent="0.4">
      <c r="B38" s="196" t="s">
        <v>305</v>
      </c>
      <c r="C38" s="196"/>
      <c r="D38" s="196"/>
      <c r="E38" s="204">
        <f>SUM(E36:E37)</f>
        <v>12631.250854747526</v>
      </c>
    </row>
    <row r="39" spans="2:19" ht="3" customHeight="1" x14ac:dyDescent="0.35"/>
    <row r="40" spans="2:19" x14ac:dyDescent="0.35">
      <c r="B40" t="s">
        <v>307</v>
      </c>
      <c r="E40" s="108">
        <f>'Data Sheet'!K69</f>
        <v>781.98</v>
      </c>
    </row>
    <row r="41" spans="2:19" x14ac:dyDescent="0.35">
      <c r="B41" t="s">
        <v>306</v>
      </c>
      <c r="E41" s="108">
        <f>SUM('Raw FS'!N7:N8)</f>
        <v>864</v>
      </c>
    </row>
    <row r="42" spans="2:19" x14ac:dyDescent="0.35">
      <c r="B42" s="182" t="s">
        <v>308</v>
      </c>
      <c r="C42" s="182"/>
      <c r="D42" s="182"/>
      <c r="E42" s="235">
        <f>E38+E40-E41</f>
        <v>12549.230854747526</v>
      </c>
    </row>
    <row r="43" spans="2:19" x14ac:dyDescent="0.35">
      <c r="B43" t="s">
        <v>309</v>
      </c>
      <c r="E43" s="205">
        <f>'Data Sheet'!B6</f>
        <v>95.919780915094719</v>
      </c>
    </row>
    <row r="44" spans="2:19" ht="3" customHeight="1" x14ac:dyDescent="0.35"/>
    <row r="45" spans="2:19" ht="15" thickBot="1" x14ac:dyDescent="0.4">
      <c r="B45" s="196" t="s">
        <v>310</v>
      </c>
      <c r="C45" s="196"/>
      <c r="D45" s="196"/>
      <c r="E45" s="206">
        <f>E42/E43</f>
        <v>130.83047870861719</v>
      </c>
    </row>
    <row r="47" spans="2:19" x14ac:dyDescent="0.35">
      <c r="B47" t="s">
        <v>311</v>
      </c>
      <c r="E47">
        <v>2541</v>
      </c>
    </row>
    <row r="48" spans="2:19" x14ac:dyDescent="0.35">
      <c r="B48" t="s">
        <v>312</v>
      </c>
      <c r="E48" s="207">
        <f>E47/E45</f>
        <v>19.422079817190458</v>
      </c>
    </row>
  </sheetData>
  <mergeCells count="1">
    <mergeCell ref="B2:O3"/>
  </mergeCells>
  <pageMargins left="0.7" right="0.7" top="0.75" bottom="0.75" header="0.3" footer="0.3"/>
  <ignoredErrors>
    <ignoredError sqref="E40:E41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0E2D-3E70-4984-8BCD-963433976587}">
  <dimension ref="B2:L43"/>
  <sheetViews>
    <sheetView showGridLines="0" topLeftCell="A5" workbookViewId="0">
      <selection activeCell="P38" sqref="P38"/>
    </sheetView>
  </sheetViews>
  <sheetFormatPr defaultRowHeight="14.5" x14ac:dyDescent="0.35"/>
  <cols>
    <col min="1" max="1" width="1.81640625" customWidth="1"/>
    <col min="2" max="2" width="25.26953125" customWidth="1"/>
    <col min="3" max="3" width="9.54296875" bestFit="1" customWidth="1"/>
  </cols>
  <sheetData>
    <row r="2" spans="2:12" x14ac:dyDescent="0.35">
      <c r="B2" s="265" t="str">
        <f>'Profit &amp; Loss'!$A$1</f>
        <v>ASIAN PAINTS LTD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</row>
    <row r="3" spans="2:12" x14ac:dyDescent="0.35"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 ht="14.5" customHeight="1" x14ac:dyDescent="0.5">
      <c r="B5" s="165" t="str">
        <f>"Common Size Income Statement - "&amp; 'Profit &amp; Loss'!$A$1</f>
        <v>Common Size Income Statement - ASIAN PAINTS LTD</v>
      </c>
      <c r="C5" s="164"/>
      <c r="D5" s="163"/>
      <c r="E5" s="163"/>
      <c r="F5" s="163"/>
      <c r="G5" s="163"/>
      <c r="H5" s="163"/>
      <c r="I5" s="163"/>
      <c r="J5" s="163"/>
      <c r="K5" s="163"/>
      <c r="L5" s="163"/>
    </row>
    <row r="7" spans="2:12" x14ac:dyDescent="0.35">
      <c r="B7" s="194" t="s">
        <v>241</v>
      </c>
      <c r="C7" s="195">
        <f>FS!D5</f>
        <v>42460</v>
      </c>
      <c r="D7" s="195">
        <f>FS!E5</f>
        <v>42825</v>
      </c>
      <c r="E7" s="195">
        <f>FS!F5</f>
        <v>43190</v>
      </c>
      <c r="F7" s="195">
        <f>FS!G5</f>
        <v>43555</v>
      </c>
      <c r="G7" s="195">
        <f>FS!H5</f>
        <v>43921</v>
      </c>
      <c r="H7" s="195">
        <f>FS!I5</f>
        <v>44286</v>
      </c>
      <c r="I7" s="195">
        <f>FS!J5</f>
        <v>44651</v>
      </c>
      <c r="J7" s="195">
        <f>FS!K5</f>
        <v>45016</v>
      </c>
      <c r="K7" s="195">
        <f>FS!L5</f>
        <v>45382</v>
      </c>
      <c r="L7" s="195">
        <f>FS!M5</f>
        <v>45747</v>
      </c>
    </row>
    <row r="8" spans="2:12" ht="1.5" customHeight="1" x14ac:dyDescent="0.35"/>
    <row r="9" spans="2:12" x14ac:dyDescent="0.35">
      <c r="B9" t="str">
        <f>FS!B9</f>
        <v>Sales</v>
      </c>
      <c r="C9" s="128">
        <f>FS!D9/FS!D$9</f>
        <v>1</v>
      </c>
      <c r="D9" s="128">
        <f>FS!E9/FS!E$9</f>
        <v>1</v>
      </c>
      <c r="E9" s="128">
        <f>FS!F9/FS!F$9</f>
        <v>1</v>
      </c>
      <c r="F9" s="128">
        <f>FS!G9/FS!G$9</f>
        <v>1</v>
      </c>
      <c r="G9" s="128">
        <f>FS!H9/FS!H$9</f>
        <v>1</v>
      </c>
      <c r="H9" s="128">
        <f>FS!I9/FS!I$9</f>
        <v>1</v>
      </c>
      <c r="I9" s="128">
        <f>FS!J9/FS!J$9</f>
        <v>1</v>
      </c>
      <c r="J9" s="128">
        <f>FS!K9/FS!K$9</f>
        <v>1</v>
      </c>
      <c r="K9" s="128">
        <f>FS!L9/FS!L$9</f>
        <v>1</v>
      </c>
      <c r="L9" s="128">
        <f>FS!M9/FS!M$9</f>
        <v>1</v>
      </c>
    </row>
    <row r="10" spans="2:12" x14ac:dyDescent="0.35">
      <c r="B10" t="str">
        <f>FS!B12</f>
        <v>COGS</v>
      </c>
      <c r="C10" s="128">
        <f>FS!D12/FS!D$9</f>
        <v>0.55395196997650564</v>
      </c>
      <c r="D10" s="128">
        <f>FS!E12/FS!E$9</f>
        <v>0.5771329020932825</v>
      </c>
      <c r="E10" s="128">
        <f>FS!F12/FS!F$9</f>
        <v>0.59866564038859871</v>
      </c>
      <c r="F10" s="128">
        <f>FS!G12/FS!G$9</f>
        <v>0.60618717233199559</v>
      </c>
      <c r="G10" s="128">
        <f>FS!H12/FS!H$9</f>
        <v>0.58317768569484818</v>
      </c>
      <c r="H10" s="128">
        <f>FS!I12/FS!I$9</f>
        <v>0.57512000991120882</v>
      </c>
      <c r="I10" s="128">
        <f>FS!J12/FS!J$9</f>
        <v>0.64588086847039028</v>
      </c>
      <c r="J10" s="128">
        <f>FS!K12/FS!K$9</f>
        <v>0.63007185854800107</v>
      </c>
      <c r="K10" s="128">
        <f>FS!L12/FS!L$9</f>
        <v>0.58248280801121743</v>
      </c>
      <c r="L10" s="128">
        <f>FS!M12/FS!M$9</f>
        <v>0.59386880405077391</v>
      </c>
    </row>
    <row r="11" spans="2:12" x14ac:dyDescent="0.35">
      <c r="B11" t="str">
        <f>FS!B15</f>
        <v xml:space="preserve">Gross Profit </v>
      </c>
      <c r="C11" s="128">
        <f>FS!D15/FS!D$9</f>
        <v>0.44604803002349436</v>
      </c>
      <c r="D11" s="128">
        <f>FS!E15/FS!E$9</f>
        <v>0.42286709790671745</v>
      </c>
      <c r="E11" s="128">
        <f>FS!F15/FS!F$9</f>
        <v>0.40133435961140124</v>
      </c>
      <c r="F11" s="128">
        <f>FS!G15/FS!G$9</f>
        <v>0.39381282766800441</v>
      </c>
      <c r="G11" s="128">
        <f>FS!H15/FS!H$9</f>
        <v>0.41682231430515182</v>
      </c>
      <c r="H11" s="128">
        <f>FS!I15/FS!I$9</f>
        <v>0.42487999008879113</v>
      </c>
      <c r="I11" s="128">
        <f>FS!J15/FS!J$9</f>
        <v>0.35411913152960972</v>
      </c>
      <c r="J11" s="128">
        <f>FS!K15/FS!K$9</f>
        <v>0.36992814145199898</v>
      </c>
      <c r="K11" s="128">
        <f>FS!L15/FS!L$9</f>
        <v>0.41751719198878262</v>
      </c>
      <c r="L11" s="128">
        <f>FS!M15/FS!M$9</f>
        <v>0.40613119594922614</v>
      </c>
    </row>
    <row r="12" spans="2:12" x14ac:dyDescent="0.35">
      <c r="B12" t="str">
        <f>FS!B18</f>
        <v>S&amp;G Expenses</v>
      </c>
      <c r="C12" s="128">
        <f>FS!D18/FS!D$9</f>
        <v>0.25918176728568637</v>
      </c>
      <c r="D12" s="128">
        <f>FS!E18/FS!E$9</f>
        <v>0.2673046523068997</v>
      </c>
      <c r="E12" s="128">
        <f>FS!F18/FS!F$9</f>
        <v>0.11403039011444586</v>
      </c>
      <c r="F12" s="128">
        <f>FS!G18/FS!G$9</f>
        <v>0.10878824623326348</v>
      </c>
      <c r="G12" s="128">
        <f>FS!H18/FS!H$9</f>
        <v>9.6800544251345183E-2</v>
      </c>
      <c r="H12" s="128">
        <f>FS!I18/FS!I$9</f>
        <v>8.8152651041160532E-2</v>
      </c>
      <c r="I12" s="128">
        <f>FS!J18/FS!J$9</f>
        <v>9.0927271927557826E-2</v>
      </c>
      <c r="J12" s="128">
        <f>FS!K18/FS!K$9</f>
        <v>8.8996969722450248E-2</v>
      </c>
      <c r="K12" s="128">
        <f>FS!L18/FS!L$9</f>
        <v>8.4263213158685804E-2</v>
      </c>
      <c r="L12" s="128">
        <f>FS!M18/FS!M$9</f>
        <v>0.10395680716058282</v>
      </c>
    </row>
    <row r="13" spans="2:12" x14ac:dyDescent="0.35">
      <c r="B13" t="str">
        <f>FS!B21</f>
        <v>EBITDA</v>
      </c>
      <c r="C13" s="128">
        <f>FS!D21/FS!D$9</f>
        <v>0.19094292186730347</v>
      </c>
      <c r="D13" s="128">
        <f>FS!E21/FS!E$9</f>
        <v>0.19876258050895004</v>
      </c>
      <c r="E13" s="128">
        <f>FS!F21/FS!F$9</f>
        <v>0.19043659414367697</v>
      </c>
      <c r="F13" s="128">
        <f>FS!G21/FS!G$9</f>
        <v>0.19568163000977656</v>
      </c>
      <c r="G13" s="128">
        <f>FS!H21/FS!H$9</f>
        <v>0.20566862514688591</v>
      </c>
      <c r="H13" s="128">
        <f>FS!I21/FS!I$9</f>
        <v>0.22362856178317028</v>
      </c>
      <c r="I13" s="128">
        <f>FS!J21/FS!J$9</f>
        <v>0.16506524798909192</v>
      </c>
      <c r="J13" s="128">
        <f>FS!K21/FS!K$9</f>
        <v>0.18150466574597562</v>
      </c>
      <c r="K13" s="128">
        <f>FS!L21/FS!L$9</f>
        <v>0.21369313134654072</v>
      </c>
      <c r="L13" s="128">
        <f>FS!M21/FS!M$9</f>
        <v>0.17714496888716391</v>
      </c>
    </row>
    <row r="14" spans="2:12" x14ac:dyDescent="0.35">
      <c r="B14" t="str">
        <f>FS!B24</f>
        <v>Depriciation</v>
      </c>
      <c r="C14" s="128">
        <f>FS!D24/FS!D$9</f>
        <v>1.9309826794539322E-2</v>
      </c>
      <c r="D14" s="128">
        <f>FS!E24/FS!E$9</f>
        <v>2.2227474590011016E-2</v>
      </c>
      <c r="E14" s="128">
        <f>FS!F24/FS!F$9</f>
        <v>2.1425238713665449E-2</v>
      </c>
      <c r="F14" s="128">
        <f>FS!G24/FS!G$9</f>
        <v>3.2335540352378074E-2</v>
      </c>
      <c r="G14" s="128">
        <f>FS!H24/FS!H$9</f>
        <v>3.8617106809326486E-2</v>
      </c>
      <c r="H14" s="128">
        <f>FS!I24/FS!I$9</f>
        <v>3.6442576011650275E-2</v>
      </c>
      <c r="I14" s="128">
        <f>FS!J24/FS!J$9</f>
        <v>2.8052374328551871E-2</v>
      </c>
      <c r="J14" s="128">
        <f>FS!K24/FS!K$9</f>
        <v>2.4878372818372688E-2</v>
      </c>
      <c r="K14" s="128">
        <f>FS!L24/FS!L$9</f>
        <v>2.4031736542297968E-2</v>
      </c>
      <c r="L14" s="128">
        <f>FS!M24/FS!M$9</f>
        <v>3.0270497929251843E-2</v>
      </c>
    </row>
    <row r="15" spans="2:12" x14ac:dyDescent="0.35">
      <c r="B15" t="str">
        <f>FS!B27</f>
        <v>EBIT</v>
      </c>
      <c r="C15" s="128">
        <f>FS!D27/FS!D$9</f>
        <v>0.18658528296624968</v>
      </c>
      <c r="D15" s="128">
        <f>FS!E27/FS!E$9</f>
        <v>0.19896906052918642</v>
      </c>
      <c r="E15" s="128">
        <f>FS!F27/FS!F$9</f>
        <v>0.18900654103675879</v>
      </c>
      <c r="F15" s="128">
        <f>FS!G27/FS!G$9</f>
        <v>0.1775752034939474</v>
      </c>
      <c r="G15" s="128">
        <f>FS!H27/FS!H$9</f>
        <v>0.18461846743768931</v>
      </c>
      <c r="H15" s="128">
        <f>FS!I27/FS!I$9</f>
        <v>0.20246039315997627</v>
      </c>
      <c r="I15" s="128">
        <f>FS!J27/FS!J$9</f>
        <v>0.14718012403578129</v>
      </c>
      <c r="J15" s="128">
        <f>FS!K27/FS!K$9</f>
        <v>0.16913651732355534</v>
      </c>
      <c r="K15" s="128">
        <f>FS!L27/FS!L$9</f>
        <v>0.2127904621333927</v>
      </c>
      <c r="L15" s="128">
        <f>FS!M27/FS!M$9</f>
        <v>0.15720373200667034</v>
      </c>
    </row>
    <row r="16" spans="2:12" x14ac:dyDescent="0.35">
      <c r="B16" t="str">
        <f>FS!B30</f>
        <v>Interest</v>
      </c>
      <c r="C16" s="128">
        <f>FS!D30/FS!D$9</f>
        <v>3.4334186549547386E-3</v>
      </c>
      <c r="D16" s="128">
        <f>FS!E30/FS!E$9</f>
        <v>2.4784241657310885E-3</v>
      </c>
      <c r="E16" s="128">
        <f>FS!F30/FS!F$9</f>
        <v>2.4648504714836358E-3</v>
      </c>
      <c r="F16" s="128">
        <f>FS!G30/FS!G$9</f>
        <v>5.7416451967840128E-3</v>
      </c>
      <c r="G16" s="128">
        <f>FS!H30/FS!H$9</f>
        <v>5.0630218319005502E-3</v>
      </c>
      <c r="H16" s="128">
        <f>FS!I30/FS!I$9</f>
        <v>4.2200933182700148E-3</v>
      </c>
      <c r="I16" s="128">
        <f>FS!J30/FS!J$9</f>
        <v>3.2785499469439143E-3</v>
      </c>
      <c r="J16" s="128">
        <f>FS!K30/FS!K$9</f>
        <v>4.1883417095335005E-3</v>
      </c>
      <c r="K16" s="128">
        <f>FS!L30/FS!L$9</f>
        <v>5.7802947085384216E-3</v>
      </c>
      <c r="L16" s="128">
        <f>FS!M30/FS!M$9</f>
        <v>6.6956451467337858E-3</v>
      </c>
    </row>
    <row r="17" spans="2:12" x14ac:dyDescent="0.35">
      <c r="B17" t="str">
        <f>FS!B33</f>
        <v>EBT</v>
      </c>
      <c r="C17" s="128">
        <f>FS!D33/FS!D$9</f>
        <v>0.18315186431129477</v>
      </c>
      <c r="D17" s="128">
        <f>FS!E33/FS!E$9</f>
        <v>0.19649063636345529</v>
      </c>
      <c r="E17" s="128">
        <f>FS!F33/FS!F$9</f>
        <v>0.18654169056527517</v>
      </c>
      <c r="F17" s="128">
        <f>FS!G33/FS!G$9</f>
        <v>0.17183355829716326</v>
      </c>
      <c r="G17" s="128">
        <f>FS!H33/FS!H$9</f>
        <v>0.17955544560578884</v>
      </c>
      <c r="H17" s="128">
        <f>FS!I33/FS!I$9</f>
        <v>0.19824029984170621</v>
      </c>
      <c r="I17" s="128">
        <f>FS!J33/FS!J$9</f>
        <v>0.14390157408883733</v>
      </c>
      <c r="J17" s="128">
        <f>FS!K33/FS!K$9</f>
        <v>0.16494817561402192</v>
      </c>
      <c r="K17" s="128">
        <f>FS!L33/FS!L$9</f>
        <v>0.20701016742485434</v>
      </c>
      <c r="L17" s="128">
        <f>FS!M33/FS!M$9</f>
        <v>0.15050808685993647</v>
      </c>
    </row>
    <row r="18" spans="2:12" x14ac:dyDescent="0.35">
      <c r="B18" t="str">
        <f>FS!B36</f>
        <v>Tax</v>
      </c>
      <c r="C18" s="128">
        <f>FS!D36/FS!D$9</f>
        <v>5.9173218773933209E-2</v>
      </c>
      <c r="D18" s="128">
        <f>FS!E36/FS!E$9</f>
        <v>6.2627182729506528E-2</v>
      </c>
      <c r="E18" s="128">
        <f>FS!F36/FS!F$9</f>
        <v>6.1871491362324706E-2</v>
      </c>
      <c r="F18" s="128">
        <f>FS!G36/FS!G$9</f>
        <v>5.7071339954563712E-2</v>
      </c>
      <c r="G18" s="128">
        <f>FS!H36/FS!H$9</f>
        <v>4.2295751128703075E-2</v>
      </c>
      <c r="H18" s="128">
        <f>FS!I36/FS!I$9</f>
        <v>5.05508504434483E-2</v>
      </c>
      <c r="I18" s="128">
        <f>FS!J36/FS!J$9</f>
        <v>3.7899020249281136E-2</v>
      </c>
      <c r="J18" s="128">
        <f>FS!K36/FS!K$9</f>
        <v>4.3304176830656176E-2</v>
      </c>
      <c r="K18" s="128">
        <f>FS!L36/FS!L$9</f>
        <v>5.0432275439198995E-2</v>
      </c>
      <c r="L18" s="128">
        <f>FS!M36/FS!M$9</f>
        <v>4.1095252055558924E-2</v>
      </c>
    </row>
    <row r="19" spans="2:12" x14ac:dyDescent="0.35">
      <c r="B19" t="str">
        <f>FS!B39</f>
        <v>Net Profit</v>
      </c>
      <c r="C19" s="128">
        <f>FS!D39/FS!D$9</f>
        <v>0.12228295714042473</v>
      </c>
      <c r="D19" s="128">
        <f>FS!E39/FS!E$9</f>
        <v>0.12876319795724203</v>
      </c>
      <c r="E19" s="128">
        <f>FS!F39/FS!F$9</f>
        <v>0.12118778808348515</v>
      </c>
      <c r="F19" s="128">
        <f>FS!G39/FS!G$9</f>
        <v>0.11205329693718286</v>
      </c>
      <c r="G19" s="128">
        <f>FS!H39/FS!H$9</f>
        <v>0.13384476467313997</v>
      </c>
      <c r="H19" s="128">
        <f>FS!I39/FS!I$9</f>
        <v>0.14458252486207437</v>
      </c>
      <c r="I19" s="128">
        <f>FS!J39/FS!J$9</f>
        <v>0.10413871829692715</v>
      </c>
      <c r="J19" s="128">
        <f>FS!K39/FS!K$9</f>
        <v>0.11906691459407301</v>
      </c>
      <c r="K19" s="128">
        <f>FS!L39/FS!L$9</f>
        <v>0.15383213226301479</v>
      </c>
      <c r="L19" s="128">
        <f>FS!M39/FS!M$9</f>
        <v>0.10815994516543274</v>
      </c>
    </row>
    <row r="21" spans="2:12" ht="14.5" customHeight="1" x14ac:dyDescent="0.35"/>
    <row r="22" spans="2:12" s="167" customFormat="1" ht="14.5" customHeight="1" x14ac:dyDescent="0.35">
      <c r="B22" s="165" t="str">
        <f>"Common Size Balance Sheet - "&amp; 'Profit &amp; Loss'!$A$1</f>
        <v>Common Size Balance Sheet - ASIAN PAINTS LTD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</row>
    <row r="24" spans="2:12" x14ac:dyDescent="0.35">
      <c r="B24" s="194" t="s">
        <v>241</v>
      </c>
      <c r="C24" s="195">
        <f>FS!D5</f>
        <v>42460</v>
      </c>
      <c r="D24" s="195">
        <f>FS!E5</f>
        <v>42825</v>
      </c>
      <c r="E24" s="195">
        <f>FS!F5</f>
        <v>43190</v>
      </c>
      <c r="F24" s="195">
        <f>FS!G5</f>
        <v>43555</v>
      </c>
      <c r="G24" s="195">
        <f>FS!H5</f>
        <v>43921</v>
      </c>
      <c r="H24" s="195">
        <f>FS!I5</f>
        <v>44286</v>
      </c>
      <c r="I24" s="195">
        <f>FS!J5</f>
        <v>44651</v>
      </c>
      <c r="J24" s="195">
        <f>FS!K5</f>
        <v>45016</v>
      </c>
      <c r="K24" s="195">
        <f>FS!L5</f>
        <v>45382</v>
      </c>
      <c r="L24" s="195">
        <f>FS!M5</f>
        <v>45747</v>
      </c>
    </row>
    <row r="25" spans="2:12" ht="2" customHeight="1" x14ac:dyDescent="0.35"/>
    <row r="26" spans="2:12" x14ac:dyDescent="0.35">
      <c r="B26" t="str">
        <f>FS!B55</f>
        <v>Equity Share Capital</v>
      </c>
      <c r="C26" s="128">
        <f>FS!D55/FS!D$59</f>
        <v>9.0841677691984955E-3</v>
      </c>
      <c r="D26" s="128">
        <f>FS!E55/FS!E$59</f>
        <v>7.732247551226543E-3</v>
      </c>
      <c r="E26" s="128">
        <f>FS!F55/FS!F$59</f>
        <v>6.969167681429406E-3</v>
      </c>
      <c r="F26" s="128">
        <f>FS!G55/FS!G$59</f>
        <v>5.9031906277617358E-3</v>
      </c>
      <c r="G26" s="128">
        <f>FS!H55/FS!H$59</f>
        <v>5.9437463324073601E-3</v>
      </c>
      <c r="H26" s="128">
        <f>FS!I55/FS!I$59</f>
        <v>4.712276974985434E-3</v>
      </c>
      <c r="I26" s="128">
        <f>FS!J55/FS!J$59</f>
        <v>4.1779860382439044E-3</v>
      </c>
      <c r="J26" s="128">
        <f>FS!K55/FS!K$59</f>
        <v>3.7208104322338864E-3</v>
      </c>
      <c r="K26" s="128">
        <f>FS!L55/FS!L$59</f>
        <v>3.2079441432444717E-3</v>
      </c>
      <c r="L26" s="128">
        <f>FS!M55/FS!M$59</f>
        <v>3.1599146770328033E-3</v>
      </c>
    </row>
    <row r="27" spans="2:12" x14ac:dyDescent="0.35">
      <c r="B27" t="str">
        <f>FS!B56</f>
        <v>Reserves</v>
      </c>
      <c r="C27" s="128">
        <f>FS!D56/FS!D$59</f>
        <v>0.60885327534820899</v>
      </c>
      <c r="D27" s="128">
        <f>FS!E56/FS!E$59</f>
        <v>0.60522813435344402</v>
      </c>
      <c r="E27" s="128">
        <f>FS!F56/FS!F$59</f>
        <v>0.60408486807115636</v>
      </c>
      <c r="F27" s="128">
        <f>FS!G56/FS!G$59</f>
        <v>0.57694149243884485</v>
      </c>
      <c r="G27" s="128">
        <f>FS!H56/FS!H$59</f>
        <v>0.62177832775745645</v>
      </c>
      <c r="H27" s="128">
        <f>FS!I56/FS!I$59</f>
        <v>0.62442435252862394</v>
      </c>
      <c r="I27" s="128">
        <f>FS!J56/FS!J$59</f>
        <v>0.59741193104232293</v>
      </c>
      <c r="J27" s="128">
        <f>FS!K56/FS!K$59</f>
        <v>0.61663006757739625</v>
      </c>
      <c r="K27" s="128">
        <f>FS!L56/FS!L$59</f>
        <v>0.62314047430885566</v>
      </c>
      <c r="L27" s="128">
        <f>FS!M56/FS!M$59</f>
        <v>0.63593249932054585</v>
      </c>
    </row>
    <row r="28" spans="2:12" x14ac:dyDescent="0.35">
      <c r="B28" t="str">
        <f>FS!B57</f>
        <v>Borrowings</v>
      </c>
      <c r="C28" s="128">
        <f>FS!D57/FS!D$59</f>
        <v>3.0617395726690803E-2</v>
      </c>
      <c r="D28" s="128">
        <f>FS!E57/FS!E$59</f>
        <v>4.5169803928839465E-2</v>
      </c>
      <c r="E28" s="128">
        <f>FS!F57/FS!F$59</f>
        <v>3.8756913222528021E-2</v>
      </c>
      <c r="F28" s="128">
        <f>FS!G57/FS!G$59</f>
        <v>8.1211951130049892E-2</v>
      </c>
      <c r="G28" s="128">
        <f>FS!H57/FS!H$59</f>
        <v>6.9308593336088742E-2</v>
      </c>
      <c r="H28" s="128">
        <f>FS!I57/FS!I$59</f>
        <v>5.3701878720768106E-2</v>
      </c>
      <c r="I28" s="128">
        <f>FS!J57/FS!J$59</f>
        <v>6.9119708969646448E-2</v>
      </c>
      <c r="J28" s="128">
        <f>FS!K57/FS!K$59</f>
        <v>7.4967813360548932E-2</v>
      </c>
      <c r="K28" s="128">
        <f>FS!L57/FS!L$59</f>
        <v>8.2753052847802919E-2</v>
      </c>
      <c r="L28" s="128">
        <f>FS!M57/FS!M$59</f>
        <v>7.5449551560273762E-2</v>
      </c>
    </row>
    <row r="29" spans="2:12" x14ac:dyDescent="0.35">
      <c r="B29" t="str">
        <f>FS!B58</f>
        <v>Other Liabilities</v>
      </c>
      <c r="C29" s="128">
        <f>FS!D58/FS!D$59</f>
        <v>0.35144516115590163</v>
      </c>
      <c r="D29" s="128">
        <f>FS!E58/FS!E$59</f>
        <v>0.34186981416648998</v>
      </c>
      <c r="E29" s="128">
        <f>FS!F58/FS!F$59</f>
        <v>0.35018905102488612</v>
      </c>
      <c r="F29" s="128">
        <f>FS!G58/FS!G$59</f>
        <v>0.3359433658033435</v>
      </c>
      <c r="G29" s="128">
        <f>FS!H58/FS!H$59</f>
        <v>0.30296933257404746</v>
      </c>
      <c r="H29" s="128">
        <f>FS!I58/FS!I$59</f>
        <v>0.31716149177562253</v>
      </c>
      <c r="I29" s="128">
        <f>FS!J58/FS!J$59</f>
        <v>0.32929037394978661</v>
      </c>
      <c r="J29" s="128">
        <f>FS!K58/FS!K$59</f>
        <v>0.30468130862982085</v>
      </c>
      <c r="K29" s="128">
        <f>FS!L58/FS!L$59</f>
        <v>0.29089852870009703</v>
      </c>
      <c r="L29" s="128">
        <f>FS!M58/FS!M$59</f>
        <v>0.28545803444214757</v>
      </c>
    </row>
    <row r="30" spans="2:12" ht="15" thickBot="1" x14ac:dyDescent="0.4">
      <c r="B30" s="196" t="str">
        <f>FS!B59</f>
        <v>Total Liabilities</v>
      </c>
      <c r="C30" s="197">
        <f>FS!D59/FS!D$59</f>
        <v>1</v>
      </c>
      <c r="D30" s="197">
        <f>FS!E59/FS!E$59</f>
        <v>1</v>
      </c>
      <c r="E30" s="197">
        <f>FS!F59/FS!F$59</f>
        <v>1</v>
      </c>
      <c r="F30" s="197">
        <f>FS!G59/FS!G$59</f>
        <v>1</v>
      </c>
      <c r="G30" s="197">
        <f>FS!H59/FS!H$59</f>
        <v>1</v>
      </c>
      <c r="H30" s="197">
        <f>FS!I59/FS!I$59</f>
        <v>1</v>
      </c>
      <c r="I30" s="197">
        <f>FS!J59/FS!J$59</f>
        <v>1</v>
      </c>
      <c r="J30" s="197">
        <f>FS!K59/FS!K$59</f>
        <v>1</v>
      </c>
      <c r="K30" s="197">
        <f>FS!L59/FS!L$59</f>
        <v>1</v>
      </c>
      <c r="L30" s="197">
        <f>FS!M59/FS!M$59</f>
        <v>1</v>
      </c>
    </row>
    <row r="32" spans="2:12" x14ac:dyDescent="0.35">
      <c r="B32" t="str">
        <f>FS!B61</f>
        <v>Net Block</v>
      </c>
      <c r="C32" s="128">
        <f>FS!D61/FS!D$72</f>
        <v>0.32354771224250717</v>
      </c>
      <c r="D32" s="128">
        <f>FS!E61/FS!E$72</f>
        <v>0.26631917769901148</v>
      </c>
      <c r="E32" s="128">
        <f>FS!F61/FS!F$72</f>
        <v>0.2711697913609058</v>
      </c>
      <c r="F32" s="128">
        <f>FS!G61/FS!G$72</f>
        <v>0.39981684846425958</v>
      </c>
      <c r="G32" s="128">
        <f>FS!H61/FS!H$72</f>
        <v>0.38866784360114692</v>
      </c>
      <c r="H32" s="128">
        <f>FS!I61/FS!I$72</f>
        <v>0.28781243644173965</v>
      </c>
      <c r="I32" s="128">
        <f>FS!J61/FS!J$72</f>
        <v>0.240393615765538</v>
      </c>
      <c r="J32" s="128">
        <f>FS!K61/FS!K$72</f>
        <v>0.22384057304825222</v>
      </c>
      <c r="K32" s="128">
        <f>FS!L61/FS!L$72</f>
        <v>0.23901123616549005</v>
      </c>
      <c r="L32" s="128">
        <f>FS!M61/FS!M$72</f>
        <v>0.30373988025135684</v>
      </c>
    </row>
    <row r="33" spans="2:12" x14ac:dyDescent="0.35">
      <c r="B33" t="str">
        <f>FS!B62</f>
        <v>Capital Work in Progress</v>
      </c>
      <c r="C33" s="128">
        <f>FS!D62/FS!D$72</f>
        <v>1.0094677257285946E-2</v>
      </c>
      <c r="D33" s="128">
        <f>FS!E62/FS!E$72</f>
        <v>2.076066549565142E-2</v>
      </c>
      <c r="E33" s="128">
        <f>FS!F62/FS!F$72</f>
        <v>0.10208973311982143</v>
      </c>
      <c r="F33" s="128">
        <f>FS!G62/FS!G$72</f>
        <v>1.2903690355742315E-2</v>
      </c>
      <c r="G33" s="128">
        <f>FS!H62/FS!H$72</f>
        <v>8.6900644876648069E-3</v>
      </c>
      <c r="H33" s="128">
        <f>FS!I62/FS!I$72</f>
        <v>8.9892873319728384E-3</v>
      </c>
      <c r="I33" s="128">
        <f>FS!J62/FS!J$72</f>
        <v>1.8574005278235488E-2</v>
      </c>
      <c r="J33" s="128">
        <f>FS!K62/FS!K$72</f>
        <v>3.9550678780247588E-2</v>
      </c>
      <c r="K33" s="128">
        <f>FS!L62/FS!L$72</f>
        <v>9.0244164280719186E-2</v>
      </c>
      <c r="L33" s="128">
        <f>FS!M62/FS!M$72</f>
        <v>4.1326953327678079E-2</v>
      </c>
    </row>
    <row r="34" spans="2:12" x14ac:dyDescent="0.35">
      <c r="B34" t="str">
        <f>FS!B63</f>
        <v>Investments</v>
      </c>
      <c r="C34" s="128">
        <f>FS!D63/FS!D$72</f>
        <v>0.25685408602873561</v>
      </c>
      <c r="D34" s="128">
        <f>FS!E63/FS!E$72</f>
        <v>0.21378068372995496</v>
      </c>
      <c r="E34" s="128">
        <f>FS!F63/FS!F$72</f>
        <v>0.15553479207293502</v>
      </c>
      <c r="F34" s="128">
        <f>FS!G63/FS!G$72</f>
        <v>0.15807774585755041</v>
      </c>
      <c r="G34" s="128">
        <f>FS!H63/FS!H$72</f>
        <v>0.12509937743099039</v>
      </c>
      <c r="H34" s="128">
        <f>FS!I63/FS!I$72</f>
        <v>0.23270552100824649</v>
      </c>
      <c r="I34" s="128">
        <f>FS!J63/FS!J$72</f>
        <v>0.14145261675123255</v>
      </c>
      <c r="J34" s="128">
        <f>FS!K63/FS!K$72</f>
        <v>0.16531500236817637</v>
      </c>
      <c r="K34" s="128">
        <f>FS!L63/FS!L$72</f>
        <v>0.15343818904998099</v>
      </c>
      <c r="L34" s="128">
        <f>FS!M63/FS!M$72</f>
        <v>0.1556485286729643</v>
      </c>
    </row>
    <row r="35" spans="2:12" x14ac:dyDescent="0.35">
      <c r="B35" t="str">
        <f>FS!B64</f>
        <v>Other Assets</v>
      </c>
      <c r="C35" s="128">
        <f>FS!D64/FS!D$72</f>
        <v>4.9800028979934727E-2</v>
      </c>
      <c r="D35" s="128">
        <f>FS!E64/FS!E$72</f>
        <v>1.3495964189182115E-2</v>
      </c>
      <c r="E35" s="128">
        <f>FS!F64/FS!F$72</f>
        <v>3.1306035973460142E-2</v>
      </c>
      <c r="F35" s="128">
        <f>FS!G64/FS!G$72</f>
        <v>2.4709456182718217E-2</v>
      </c>
      <c r="G35" s="128">
        <f>FS!H64/FS!H$72</f>
        <v>-1.8324485669511056E-2</v>
      </c>
      <c r="H35" s="128">
        <f>FS!I64/FS!I$72</f>
        <v>2.7098540235633429E-3</v>
      </c>
      <c r="I35" s="128">
        <f>FS!J64/FS!J$72</f>
        <v>-0.10734314149530261</v>
      </c>
      <c r="J35" s="128">
        <f>FS!K64/FS!K$72</f>
        <v>-0.11610464662968348</v>
      </c>
      <c r="K35" s="128">
        <f>FS!L64/FS!L$72</f>
        <v>-7.0712894684651903E-2</v>
      </c>
      <c r="L35" s="128">
        <f>FS!M64/FS!M$72</f>
        <v>-7.8001993065449984E-2</v>
      </c>
    </row>
    <row r="36" spans="2:12" x14ac:dyDescent="0.35">
      <c r="B36" s="2" t="str">
        <f>FS!B65</f>
        <v>Total Non-Current Assets (A)</v>
      </c>
      <c r="C36" s="168">
        <f>FS!D65/FS!D$72</f>
        <v>0.64029650450846343</v>
      </c>
      <c r="D36" s="168">
        <f>FS!E65/FS!E$72</f>
        <v>0.5143564911138</v>
      </c>
      <c r="E36" s="168">
        <f>FS!F65/FS!F$72</f>
        <v>0.56010035252712242</v>
      </c>
      <c r="F36" s="168">
        <f>FS!G65/FS!G$72</f>
        <v>0.5955077408602707</v>
      </c>
      <c r="G36" s="168">
        <f>FS!H65/FS!H$72</f>
        <v>0.50413279985029102</v>
      </c>
      <c r="H36" s="168">
        <f>FS!I65/FS!I$72</f>
        <v>0.53221709880552226</v>
      </c>
      <c r="I36" s="168">
        <f>FS!J65/FS!J$72</f>
        <v>0.29307709629970341</v>
      </c>
      <c r="J36" s="168">
        <f>FS!K65/FS!K$72</f>
        <v>0.31260160756699268</v>
      </c>
      <c r="K36" s="168">
        <f>FS!L65/FS!L$72</f>
        <v>0.41198069481153832</v>
      </c>
      <c r="L36" s="168">
        <f>FS!M65/FS!M$72</f>
        <v>0.42271336918654928</v>
      </c>
    </row>
    <row r="38" spans="2:12" x14ac:dyDescent="0.35">
      <c r="B38" t="str">
        <f>FS!B67</f>
        <v>Working Capital</v>
      </c>
      <c r="C38" s="128">
        <f>FS!D67/FS!D$72</f>
        <v>5.8058363315569711E-2</v>
      </c>
      <c r="D38" s="128">
        <f>FS!E67/FS!E$72</f>
        <v>0.15726965890889219</v>
      </c>
      <c r="E38" s="128">
        <f>FS!F67/FS!F$72</f>
        <v>0.12101663242145159</v>
      </c>
      <c r="F38" s="128">
        <f>FS!G67/FS!G$72</f>
        <v>9.3258349519104125E-2</v>
      </c>
      <c r="G38" s="128">
        <f>FS!H67/FS!H$72</f>
        <v>0.17457338190615049</v>
      </c>
      <c r="H38" s="128">
        <f>FS!I67/FS!I$72</f>
        <v>0.15333126344241857</v>
      </c>
      <c r="I38" s="128">
        <f>FS!J67/FS!J$72</f>
        <v>0.27028938825520732</v>
      </c>
      <c r="J38" s="128">
        <f>FS!K67/FS!K$72</f>
        <v>0.26661243717350297</v>
      </c>
      <c r="K38" s="128">
        <f>FS!L67/FS!L$72</f>
        <v>0.22640788180371277</v>
      </c>
      <c r="L38" s="128">
        <f>FS!M67/FS!M$72</f>
        <v>0.21382660330585321</v>
      </c>
    </row>
    <row r="39" spans="2:12" x14ac:dyDescent="0.35">
      <c r="B39" t="str">
        <f>FS!B68</f>
        <v>Debtors</v>
      </c>
      <c r="C39" s="128">
        <f>FS!D68/FS!D$72</f>
        <v>0.11240047618010367</v>
      </c>
      <c r="D39" s="128">
        <f>FS!E68/FS!E$72</f>
        <v>0.11661248235617512</v>
      </c>
      <c r="E39" s="128">
        <f>FS!F68/FS!F$72</f>
        <v>0.12574072836230374</v>
      </c>
      <c r="F39" s="128">
        <f>FS!G68/FS!G$72</f>
        <v>0.11738253315313583</v>
      </c>
      <c r="G39" s="128">
        <f>FS!H68/FS!H$72</f>
        <v>0.111241996360137</v>
      </c>
      <c r="H39" s="128">
        <f>FS!I68/FS!I$72</f>
        <v>0.12783721618012767</v>
      </c>
      <c r="I39" s="128">
        <f>FS!J68/FS!J$72</f>
        <v>0.168628255503534</v>
      </c>
      <c r="J39" s="128">
        <f>FS!K68/FS!K$72</f>
        <v>0.17987046211053581</v>
      </c>
      <c r="K39" s="128">
        <f>FS!L68/FS!L$72</f>
        <v>0.16350916715522712</v>
      </c>
      <c r="L39" s="128">
        <f>FS!M68/FS!M$72</f>
        <v>0.14210556658238688</v>
      </c>
    </row>
    <row r="40" spans="2:12" x14ac:dyDescent="0.35">
      <c r="B40" t="str">
        <f>FS!B69</f>
        <v>Inventory</v>
      </c>
      <c r="C40" s="128">
        <f>FS!D69/FS!D$72</f>
        <v>0.18924465599586326</v>
      </c>
      <c r="D40" s="128">
        <f>FS!E69/FS!E$72</f>
        <v>0.21176136762113279</v>
      </c>
      <c r="E40" s="128">
        <f>FS!F69/FS!F$72</f>
        <v>0.19314228668912223</v>
      </c>
      <c r="F40" s="128">
        <f>FS!G69/FS!G$72</f>
        <v>0.19385137646748934</v>
      </c>
      <c r="G40" s="128">
        <f>FS!H69/FS!H$72</f>
        <v>0.21005182188342153</v>
      </c>
      <c r="H40" s="128">
        <f>FS!I69/FS!I$72</f>
        <v>0.18661442157193148</v>
      </c>
      <c r="I40" s="128">
        <f>FS!J69/FS!J$72</f>
        <v>0.26800525994155522</v>
      </c>
      <c r="J40" s="128">
        <f>FS!K69/FS!K$72</f>
        <v>0.24091549314896857</v>
      </c>
      <c r="K40" s="128">
        <f>FS!L69/FS!L$72</f>
        <v>0.19810225622952185</v>
      </c>
      <c r="L40" s="128">
        <f>FS!M69/FS!M$72</f>
        <v>0.22135446092521063</v>
      </c>
    </row>
    <row r="41" spans="2:12" x14ac:dyDescent="0.35">
      <c r="B41" s="2" t="str">
        <f>FS!B70</f>
        <v>Total Current Assets (B)</v>
      </c>
      <c r="C41" s="168">
        <f>FS!D70/FS!D$72</f>
        <v>0.35970349549153668</v>
      </c>
      <c r="D41" s="168">
        <f>FS!E70/FS!E$72</f>
        <v>0.48564350888620011</v>
      </c>
      <c r="E41" s="168">
        <f>FS!F70/FS!F$72</f>
        <v>0.43989964747287758</v>
      </c>
      <c r="F41" s="168">
        <f>FS!G70/FS!G$72</f>
        <v>0.40449225913972936</v>
      </c>
      <c r="G41" s="168">
        <f>FS!H70/FS!H$72</f>
        <v>0.49586720014970898</v>
      </c>
      <c r="H41" s="168">
        <f>FS!I70/FS!I$72</f>
        <v>0.46778290119447774</v>
      </c>
      <c r="I41" s="168">
        <f>FS!J70/FS!J$72</f>
        <v>0.70692290370029653</v>
      </c>
      <c r="J41" s="168">
        <f>FS!K70/FS!K$72</f>
        <v>0.68739839243300727</v>
      </c>
      <c r="K41" s="168">
        <f>FS!L70/FS!L$72</f>
        <v>0.58801930518846168</v>
      </c>
      <c r="L41" s="168">
        <f>FS!M70/FS!M$72</f>
        <v>0.57728663081345077</v>
      </c>
    </row>
    <row r="43" spans="2:12" ht="15" thickBot="1" x14ac:dyDescent="0.4">
      <c r="B43" s="196" t="str">
        <f>FS!B72</f>
        <v>Total Assets (A)+(B)</v>
      </c>
      <c r="C43" s="197">
        <f>FS!D72/FS!D$72</f>
        <v>1</v>
      </c>
      <c r="D43" s="197">
        <f>FS!E72/FS!E$72</f>
        <v>1</v>
      </c>
      <c r="E43" s="197">
        <f>FS!F72/FS!F$72</f>
        <v>1</v>
      </c>
      <c r="F43" s="197">
        <f>FS!G72/FS!G$72</f>
        <v>1</v>
      </c>
      <c r="G43" s="197">
        <f>FS!H72/FS!H$72</f>
        <v>1</v>
      </c>
      <c r="H43" s="197">
        <f>FS!I72/FS!I$72</f>
        <v>1</v>
      </c>
      <c r="I43" s="197">
        <f>FS!J72/FS!J$72</f>
        <v>1</v>
      </c>
      <c r="J43" s="197">
        <f>FS!K72/FS!K$72</f>
        <v>1</v>
      </c>
      <c r="K43" s="197">
        <f>FS!L72/FS!L$72</f>
        <v>1</v>
      </c>
      <c r="L43" s="197">
        <f>FS!M72/FS!M$72</f>
        <v>1</v>
      </c>
    </row>
  </sheetData>
  <mergeCells count="1">
    <mergeCell ref="B2:L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F144-A4DF-4353-90D0-D770A98D09F7}">
  <dimension ref="B2:H60"/>
  <sheetViews>
    <sheetView showGridLines="0" topLeftCell="A33" workbookViewId="0">
      <selection activeCell="D43" sqref="D43"/>
    </sheetView>
  </sheetViews>
  <sheetFormatPr defaultRowHeight="14.5" x14ac:dyDescent="0.35"/>
  <cols>
    <col min="1" max="1" width="1.81640625" customWidth="1"/>
    <col min="2" max="2" width="43.7265625" bestFit="1" customWidth="1"/>
    <col min="4" max="4" width="8.7265625" customWidth="1"/>
  </cols>
  <sheetData>
    <row r="2" spans="2:7" x14ac:dyDescent="0.35">
      <c r="B2" s="266" t="str">
        <f>"Intrinsic Growth Calculation - "&amp;'Profit &amp; Loss'!$A$1</f>
        <v>Intrinsic Growth Calculation - ASIAN PAINTS LTD</v>
      </c>
      <c r="C2" s="266"/>
      <c r="D2" s="266"/>
      <c r="E2" s="266"/>
      <c r="F2" s="266"/>
      <c r="G2" s="266"/>
    </row>
    <row r="3" spans="2:7" x14ac:dyDescent="0.35">
      <c r="B3" s="266"/>
      <c r="C3" s="266"/>
      <c r="D3" s="266"/>
      <c r="E3" s="266"/>
      <c r="F3" s="266"/>
      <c r="G3" s="266"/>
    </row>
    <row r="5" spans="2:7" x14ac:dyDescent="0.35">
      <c r="B5" s="21" t="str">
        <f>"ROIC Calculation - "&amp;'Profit &amp; Loss'!$A$1</f>
        <v>ROIC Calculation - ASIAN PAINTS LTD</v>
      </c>
      <c r="C5" s="170">
        <f>'Raw FS'!J3</f>
        <v>44256</v>
      </c>
      <c r="D5" s="170">
        <f>'Raw FS'!K3</f>
        <v>44621</v>
      </c>
      <c r="E5" s="170">
        <f>'Raw FS'!L3</f>
        <v>44986</v>
      </c>
      <c r="F5" s="170">
        <f>'Raw FS'!M3</f>
        <v>45352</v>
      </c>
      <c r="G5" s="170">
        <f>'Raw FS'!N3</f>
        <v>45717</v>
      </c>
    </row>
    <row r="6" spans="2:7" x14ac:dyDescent="0.35">
      <c r="B6" s="2" t="s">
        <v>273</v>
      </c>
    </row>
    <row r="7" spans="2:7" x14ac:dyDescent="0.35">
      <c r="B7" t="str">
        <f>'Raw FS'!B34</f>
        <v>Inventories</v>
      </c>
      <c r="C7" s="177">
        <f>'Raw FS'!J34</f>
        <v>3799</v>
      </c>
      <c r="D7" s="177">
        <f>'Raw FS'!K34</f>
        <v>6153</v>
      </c>
      <c r="E7" s="177">
        <f>'Raw FS'!L34</f>
        <v>6211</v>
      </c>
      <c r="F7" s="177">
        <f>'Raw FS'!M34</f>
        <v>5923</v>
      </c>
      <c r="G7" s="177">
        <f>'Raw FS'!N34</f>
        <v>6719</v>
      </c>
    </row>
    <row r="8" spans="2:7" x14ac:dyDescent="0.35">
      <c r="B8" t="str">
        <f>'Raw FS'!B35</f>
        <v>Trade receivables +</v>
      </c>
      <c r="C8" s="177">
        <f>'Raw FS'!J35</f>
        <v>2602</v>
      </c>
      <c r="D8" s="177">
        <f>'Raw FS'!K35</f>
        <v>3871</v>
      </c>
      <c r="E8" s="177">
        <f>'Raw FS'!L35</f>
        <v>4637</v>
      </c>
      <c r="F8" s="177">
        <f>'Raw FS'!M35</f>
        <v>4889</v>
      </c>
      <c r="G8" s="177">
        <f>'Raw FS'!N35</f>
        <v>4314</v>
      </c>
    </row>
    <row r="9" spans="2:7" x14ac:dyDescent="0.35">
      <c r="B9" t="str">
        <f>'Raw FS'!B37</f>
        <v>Loans n Advances</v>
      </c>
      <c r="C9" s="177">
        <f>'Raw FS'!J36</f>
        <v>611</v>
      </c>
      <c r="D9" s="177">
        <f>'Raw FS'!K36</f>
        <v>864</v>
      </c>
      <c r="E9" s="177">
        <f>'Raw FS'!L36</f>
        <v>844</v>
      </c>
      <c r="F9" s="177">
        <f>'Raw FS'!M36</f>
        <v>1084</v>
      </c>
      <c r="G9" s="177">
        <f>'Raw FS'!N36</f>
        <v>782</v>
      </c>
    </row>
    <row r="10" spans="2:7" ht="15" thickBot="1" x14ac:dyDescent="0.4">
      <c r="B10" t="str">
        <f>'Raw FS'!B38</f>
        <v>Other asset items</v>
      </c>
      <c r="C10" s="177">
        <f>'Raw FS'!J37</f>
        <v>11</v>
      </c>
      <c r="D10" s="177">
        <f>'Raw FS'!K37</f>
        <v>8</v>
      </c>
      <c r="E10" s="177">
        <f>'Raw FS'!L37</f>
        <v>12</v>
      </c>
      <c r="F10" s="177">
        <f>'Raw FS'!M37</f>
        <v>17</v>
      </c>
      <c r="G10" s="177">
        <f>'Raw FS'!N37</f>
        <v>22</v>
      </c>
    </row>
    <row r="11" spans="2:7" x14ac:dyDescent="0.35">
      <c r="B11" s="176" t="s">
        <v>274</v>
      </c>
      <c r="C11" s="178">
        <f>SUM(C7:C10)</f>
        <v>7023</v>
      </c>
      <c r="D11" s="178">
        <f t="shared" ref="D11:G11" si="0">SUM(D7:D10)</f>
        <v>10896</v>
      </c>
      <c r="E11" s="178">
        <f t="shared" si="0"/>
        <v>11704</v>
      </c>
      <c r="F11" s="178">
        <f t="shared" si="0"/>
        <v>11913</v>
      </c>
      <c r="G11" s="178">
        <f t="shared" si="0"/>
        <v>11837</v>
      </c>
    </row>
    <row r="12" spans="2:7" x14ac:dyDescent="0.35">
      <c r="C12" s="177"/>
      <c r="D12" s="177"/>
      <c r="E12" s="177"/>
      <c r="F12" s="177"/>
      <c r="G12" s="177"/>
    </row>
    <row r="13" spans="2:7" x14ac:dyDescent="0.35">
      <c r="B13" s="2" t="s">
        <v>275</v>
      </c>
      <c r="C13" s="177"/>
      <c r="D13" s="177"/>
      <c r="E13" s="177"/>
      <c r="F13" s="177"/>
      <c r="G13" s="177"/>
    </row>
    <row r="14" spans="2:7" x14ac:dyDescent="0.35">
      <c r="B14" t="str">
        <f>'Raw FS'!B13</f>
        <v>Trade Payables</v>
      </c>
      <c r="C14" s="177">
        <f>'Raw FS'!J13</f>
        <v>3379</v>
      </c>
      <c r="D14" s="177">
        <f>'Raw FS'!K13</f>
        <v>4164</v>
      </c>
      <c r="E14" s="177">
        <f>'Raw FS'!L13</f>
        <v>3635</v>
      </c>
      <c r="F14" s="177">
        <f>'Raw FS'!M13</f>
        <v>3831</v>
      </c>
      <c r="G14" s="177">
        <f>'Raw FS'!N13</f>
        <v>3848</v>
      </c>
    </row>
    <row r="15" spans="2:7" x14ac:dyDescent="0.35">
      <c r="B15" t="str">
        <f>'Raw FS'!B14</f>
        <v>Advance from Customers</v>
      </c>
      <c r="C15" s="177">
        <f>'Raw FS'!J14</f>
        <v>41</v>
      </c>
      <c r="D15" s="177">
        <f>'Raw FS'!K14</f>
        <v>76</v>
      </c>
      <c r="E15" s="177">
        <f>'Raw FS'!L14</f>
        <v>108</v>
      </c>
      <c r="F15" s="177">
        <f>'Raw FS'!M14</f>
        <v>154</v>
      </c>
      <c r="G15" s="177">
        <f>'Raw FS'!N14</f>
        <v>173</v>
      </c>
    </row>
    <row r="16" spans="2:7" ht="15" thickBot="1" x14ac:dyDescent="0.4">
      <c r="B16" t="str">
        <f>'Raw FS'!B15</f>
        <v>Other liability items</v>
      </c>
      <c r="C16" s="177">
        <f>'Raw FS'!J15</f>
        <v>2613</v>
      </c>
      <c r="D16" s="177">
        <f>'Raw FS'!K15</f>
        <v>2932</v>
      </c>
      <c r="E16" s="177">
        <f>'Raw FS'!L15</f>
        <v>3657</v>
      </c>
      <c r="F16" s="177">
        <f>'Raw FS'!M15</f>
        <v>4017</v>
      </c>
      <c r="G16" s="177">
        <f>'Raw FS'!N15</f>
        <v>3985</v>
      </c>
    </row>
    <row r="17" spans="2:8" x14ac:dyDescent="0.35">
      <c r="B17" s="176" t="s">
        <v>276</v>
      </c>
      <c r="C17" s="178">
        <f>SUM(C14:C16)</f>
        <v>6033</v>
      </c>
      <c r="D17" s="178">
        <f t="shared" ref="D17:G17" si="1">SUM(D14:D16)</f>
        <v>7172</v>
      </c>
      <c r="E17" s="178">
        <f t="shared" si="1"/>
        <v>7400</v>
      </c>
      <c r="F17" s="178">
        <f t="shared" si="1"/>
        <v>8002</v>
      </c>
      <c r="G17" s="178">
        <f t="shared" si="1"/>
        <v>8006</v>
      </c>
    </row>
    <row r="18" spans="2:8" x14ac:dyDescent="0.35">
      <c r="C18" s="177"/>
      <c r="D18" s="177"/>
      <c r="E18" s="177"/>
      <c r="F18" s="177"/>
      <c r="G18" s="177"/>
    </row>
    <row r="19" spans="2:8" ht="15" thickBot="1" x14ac:dyDescent="0.4">
      <c r="B19" s="180" t="s">
        <v>277</v>
      </c>
      <c r="C19" s="181">
        <f>C11-C17</f>
        <v>990</v>
      </c>
      <c r="D19" s="181">
        <f t="shared" ref="D19:G19" si="2">D11-D17</f>
        <v>3724</v>
      </c>
      <c r="E19" s="181">
        <f t="shared" si="2"/>
        <v>4304</v>
      </c>
      <c r="F19" s="181">
        <f t="shared" si="2"/>
        <v>3911</v>
      </c>
      <c r="G19" s="181">
        <f t="shared" si="2"/>
        <v>3831</v>
      </c>
    </row>
    <row r="20" spans="2:8" x14ac:dyDescent="0.35">
      <c r="C20" s="177"/>
      <c r="D20" s="177"/>
      <c r="E20" s="177"/>
      <c r="F20" s="177"/>
      <c r="G20" s="177"/>
    </row>
    <row r="21" spans="2:8" x14ac:dyDescent="0.35">
      <c r="B21" s="2" t="s">
        <v>278</v>
      </c>
      <c r="C21" s="177"/>
      <c r="D21" s="177"/>
      <c r="E21" s="177"/>
      <c r="F21" s="177"/>
      <c r="G21" s="177"/>
    </row>
    <row r="22" spans="2:8" x14ac:dyDescent="0.35">
      <c r="B22" t="str">
        <f>'Raw FS'!B19</f>
        <v>Land</v>
      </c>
      <c r="C22" s="177">
        <f>'Raw FS'!J19</f>
        <v>644</v>
      </c>
      <c r="D22" s="177">
        <f>'Raw FS'!K19</f>
        <v>644</v>
      </c>
      <c r="E22" s="177">
        <f>'Raw FS'!L19</f>
        <v>804</v>
      </c>
      <c r="F22" s="177">
        <f>'Raw FS'!M19</f>
        <v>1126</v>
      </c>
      <c r="G22" s="177">
        <f>'Raw FS'!N19</f>
        <v>1050</v>
      </c>
    </row>
    <row r="23" spans="2:8" x14ac:dyDescent="0.35">
      <c r="B23" t="str">
        <f>'Raw FS'!B20</f>
        <v>Building</v>
      </c>
      <c r="C23" s="177">
        <f>'Raw FS'!J20</f>
        <v>2249</v>
      </c>
      <c r="D23" s="177">
        <f>'Raw FS'!K20</f>
        <v>2325</v>
      </c>
      <c r="E23" s="177">
        <f>'Raw FS'!L20</f>
        <v>2883</v>
      </c>
      <c r="F23" s="177">
        <f>'Raw FS'!M20</f>
        <v>3390</v>
      </c>
      <c r="G23" s="177">
        <f>'Raw FS'!N20</f>
        <v>4136</v>
      </c>
    </row>
    <row r="24" spans="2:8" x14ac:dyDescent="0.35">
      <c r="B24" t="str">
        <f>'Raw FS'!B21</f>
        <v>Plant Machinery</v>
      </c>
      <c r="C24" s="177">
        <f>'Raw FS'!J21</f>
        <v>4340</v>
      </c>
      <c r="D24" s="177">
        <f>'Raw FS'!K21</f>
        <v>4531</v>
      </c>
      <c r="E24" s="177">
        <f>'Raw FS'!L21</f>
        <v>4825</v>
      </c>
      <c r="F24" s="177">
        <f>'Raw FS'!M21</f>
        <v>5422</v>
      </c>
      <c r="G24" s="177">
        <f>'Raw FS'!N21</f>
        <v>7576</v>
      </c>
    </row>
    <row r="25" spans="2:8" x14ac:dyDescent="0.35">
      <c r="B25" t="str">
        <f>'Raw FS'!B22</f>
        <v>Equipments</v>
      </c>
      <c r="C25" s="177">
        <f>'Raw FS'!J22</f>
        <v>243</v>
      </c>
      <c r="D25" s="177">
        <f>'Raw FS'!K22</f>
        <v>253</v>
      </c>
      <c r="E25" s="177">
        <f>'Raw FS'!L22</f>
        <v>270</v>
      </c>
      <c r="F25" s="177">
        <f>'Raw FS'!M22</f>
        <v>298</v>
      </c>
      <c r="G25" s="177">
        <f>'Raw FS'!N22</f>
        <v>325</v>
      </c>
    </row>
    <row r="26" spans="2:8" x14ac:dyDescent="0.35">
      <c r="B26" t="str">
        <f>'Raw FS'!B23</f>
        <v>Furniture n fittings</v>
      </c>
      <c r="C26" s="177">
        <f>'Raw FS'!J23</f>
        <v>99</v>
      </c>
      <c r="D26" s="177">
        <f>'Raw FS'!K23</f>
        <v>113</v>
      </c>
      <c r="E26" s="177">
        <f>'Raw FS'!L23</f>
        <v>146</v>
      </c>
      <c r="F26" s="177">
        <f>'Raw FS'!M23</f>
        <v>175</v>
      </c>
      <c r="G26" s="177">
        <f>'Raw FS'!N23</f>
        <v>203</v>
      </c>
    </row>
    <row r="27" spans="2:8" x14ac:dyDescent="0.35">
      <c r="B27" t="str">
        <f>'Raw FS'!B24</f>
        <v>Vehicles</v>
      </c>
      <c r="C27" s="177">
        <f>'Raw FS'!J24</f>
        <v>38</v>
      </c>
      <c r="D27" s="177">
        <f>'Raw FS'!K24</f>
        <v>32</v>
      </c>
      <c r="E27" s="177">
        <f>'Raw FS'!L24</f>
        <v>36</v>
      </c>
      <c r="F27" s="177">
        <f>'Raw FS'!M24</f>
        <v>40</v>
      </c>
      <c r="G27" s="177">
        <f>'Raw FS'!N24</f>
        <v>39</v>
      </c>
    </row>
    <row r="28" spans="2:8" x14ac:dyDescent="0.35">
      <c r="B28" t="str">
        <f>'Raw FS'!B25</f>
        <v>Intangible Assets</v>
      </c>
      <c r="C28" s="177">
        <f>'Raw FS'!J25</f>
        <v>476</v>
      </c>
      <c r="D28" s="177">
        <f>'Raw FS'!K25</f>
        <v>345</v>
      </c>
      <c r="E28" s="177">
        <f>'Raw FS'!L25</f>
        <v>422</v>
      </c>
      <c r="F28" s="177">
        <f>'Raw FS'!M25</f>
        <v>850</v>
      </c>
      <c r="G28" s="177">
        <f>'Raw FS'!N25</f>
        <v>827</v>
      </c>
    </row>
    <row r="29" spans="2:8" ht="15" thickBot="1" x14ac:dyDescent="0.4">
      <c r="B29" t="str">
        <f>'Raw FS'!B26</f>
        <v>Other fixed assets</v>
      </c>
      <c r="C29" s="177">
        <f>'Raw FS'!J26</f>
        <v>302</v>
      </c>
      <c r="D29" s="177">
        <f>'Raw FS'!K26</f>
        <v>294</v>
      </c>
      <c r="E29" s="177">
        <f>'Raw FS'!L26</f>
        <v>289</v>
      </c>
      <c r="F29" s="177">
        <f>'Raw FS'!M26</f>
        <v>321</v>
      </c>
      <c r="G29" s="177">
        <f>'Raw FS'!N26</f>
        <v>328</v>
      </c>
    </row>
    <row r="30" spans="2:8" x14ac:dyDescent="0.35">
      <c r="B30" s="176" t="str">
        <f>'Raw FS'!B27</f>
        <v>Gross Block</v>
      </c>
      <c r="C30" s="186">
        <f>SUM(C21:C29)</f>
        <v>8391</v>
      </c>
      <c r="D30" s="186">
        <f t="shared" ref="D30:G30" si="3">SUM(D21:D29)</f>
        <v>8537</v>
      </c>
      <c r="E30" s="186">
        <f t="shared" si="3"/>
        <v>9675</v>
      </c>
      <c r="F30" s="186">
        <f t="shared" si="3"/>
        <v>11622</v>
      </c>
      <c r="G30" s="186">
        <f t="shared" si="3"/>
        <v>14484</v>
      </c>
      <c r="H30" s="177"/>
    </row>
    <row r="31" spans="2:8" ht="15" thickBot="1" x14ac:dyDescent="0.4">
      <c r="B31" t="str">
        <f>'Raw FS'!B28</f>
        <v>Accumulated Depreciation</v>
      </c>
      <c r="C31" s="177">
        <f>-'Raw FS'!J28</f>
        <v>-2533</v>
      </c>
      <c r="D31" s="177">
        <f>-'Raw FS'!K28</f>
        <v>-3019</v>
      </c>
      <c r="E31" s="177">
        <f>-'Raw FS'!L28</f>
        <v>-3905</v>
      </c>
      <c r="F31" s="177">
        <f>-'Raw FS'!M28</f>
        <v>-4475</v>
      </c>
      <c r="G31" s="177">
        <f>-'Raw FS'!N28</f>
        <v>-5264</v>
      </c>
    </row>
    <row r="32" spans="2:8" ht="15" thickBot="1" x14ac:dyDescent="0.4">
      <c r="B32" s="184" t="s">
        <v>374</v>
      </c>
      <c r="C32" s="185">
        <f>SUM(C30:C31)</f>
        <v>5858</v>
      </c>
      <c r="D32" s="185">
        <f t="shared" ref="D32:G32" si="4">SUM(D30:D31)</f>
        <v>5518</v>
      </c>
      <c r="E32" s="185">
        <f t="shared" si="4"/>
        <v>5770</v>
      </c>
      <c r="F32" s="185">
        <f t="shared" si="4"/>
        <v>7147</v>
      </c>
      <c r="G32" s="185">
        <f t="shared" si="4"/>
        <v>9220</v>
      </c>
    </row>
    <row r="33" spans="2:7" ht="15" thickTop="1" x14ac:dyDescent="0.35"/>
    <row r="34" spans="2:7" x14ac:dyDescent="0.35">
      <c r="B34" s="2" t="s">
        <v>279</v>
      </c>
      <c r="C34" s="179">
        <f>C32+C19</f>
        <v>6848</v>
      </c>
      <c r="D34" s="179">
        <f t="shared" ref="D34:G34" si="5">D32+D19</f>
        <v>9242</v>
      </c>
      <c r="E34" s="179">
        <f t="shared" si="5"/>
        <v>10074</v>
      </c>
      <c r="F34" s="179">
        <f t="shared" si="5"/>
        <v>11058</v>
      </c>
      <c r="G34" s="179">
        <f t="shared" si="5"/>
        <v>13051</v>
      </c>
    </row>
    <row r="35" spans="2:7" x14ac:dyDescent="0.35">
      <c r="B35" s="2" t="s">
        <v>85</v>
      </c>
      <c r="C35" s="179">
        <f>FS!D27</f>
        <v>2662.8500000000026</v>
      </c>
      <c r="D35" s="179">
        <f>FS!E27</f>
        <v>2996.8700000000003</v>
      </c>
      <c r="E35" s="179">
        <f>FS!F27</f>
        <v>3179.95</v>
      </c>
      <c r="F35" s="179">
        <f>FS!G27</f>
        <v>3416.5700000000024</v>
      </c>
      <c r="G35" s="179">
        <f>FS!H27</f>
        <v>3731.3699999999981</v>
      </c>
    </row>
    <row r="37" spans="2:7" ht="15" thickBot="1" x14ac:dyDescent="0.4">
      <c r="B37" s="180" t="s">
        <v>280</v>
      </c>
      <c r="C37" s="187">
        <f>C35/C34</f>
        <v>0.38885075934579477</v>
      </c>
      <c r="D37" s="187">
        <f t="shared" ref="D37:G37" si="6">D35/D34</f>
        <v>0.32426639255572393</v>
      </c>
      <c r="E37" s="187">
        <f t="shared" si="6"/>
        <v>0.31565912249354772</v>
      </c>
      <c r="F37" s="187">
        <f t="shared" si="6"/>
        <v>0.30896816784228637</v>
      </c>
      <c r="G37" s="187">
        <f t="shared" si="6"/>
        <v>0.28590682706306014</v>
      </c>
    </row>
    <row r="40" spans="2:7" x14ac:dyDescent="0.35">
      <c r="B40" s="21" t="str">
        <f>"Reinvestment Rate Calculation - "&amp;'Profit &amp; Loss'!$A$1</f>
        <v>Reinvestment Rate Calculation - ASIAN PAINTS LTD</v>
      </c>
      <c r="C40" s="170">
        <f>'Raw FS'!J3</f>
        <v>44256</v>
      </c>
      <c r="D40" s="170">
        <f>'Raw FS'!K3</f>
        <v>44621</v>
      </c>
      <c r="E40" s="170">
        <f>'Raw FS'!L3</f>
        <v>44986</v>
      </c>
      <c r="F40" s="170">
        <f>'Raw FS'!M3</f>
        <v>45352</v>
      </c>
      <c r="G40" s="170">
        <f>'Raw FS'!N3</f>
        <v>45717</v>
      </c>
    </row>
    <row r="42" spans="2:7" x14ac:dyDescent="0.35">
      <c r="B42" t="s">
        <v>285</v>
      </c>
      <c r="C42" s="177">
        <f>-SUM('Raw FS'!J52:J53)</f>
        <v>254</v>
      </c>
      <c r="D42" s="177">
        <f>-SUM('Raw FS'!K52:K53)</f>
        <v>511</v>
      </c>
      <c r="E42" s="177">
        <f>-SUM('Raw FS'!L52:L53)</f>
        <v>1420</v>
      </c>
      <c r="F42" s="177">
        <f>-SUM('Raw FS'!M52:M53)</f>
        <v>2491</v>
      </c>
      <c r="G42" s="177">
        <f>-SUM('Raw FS'!N52:N53)</f>
        <v>1820</v>
      </c>
    </row>
    <row r="43" spans="2:7" x14ac:dyDescent="0.35">
      <c r="B43" t="s">
        <v>286</v>
      </c>
      <c r="C43" s="177"/>
      <c r="D43" s="177">
        <f>D19-C19</f>
        <v>2734</v>
      </c>
      <c r="E43" s="177">
        <f t="shared" ref="E43:G43" si="7">E19-D19</f>
        <v>580</v>
      </c>
      <c r="F43" s="177">
        <f t="shared" si="7"/>
        <v>-393</v>
      </c>
      <c r="G43" s="177">
        <f t="shared" si="7"/>
        <v>-80</v>
      </c>
    </row>
    <row r="44" spans="2:7" x14ac:dyDescent="0.35">
      <c r="C44" s="177"/>
      <c r="D44" s="177"/>
      <c r="E44" s="177"/>
      <c r="F44" s="177"/>
      <c r="G44" s="177"/>
    </row>
    <row r="45" spans="2:7" x14ac:dyDescent="0.35">
      <c r="B45" t="s">
        <v>85</v>
      </c>
      <c r="C45" s="177">
        <f>FS!D27</f>
        <v>2662.8500000000026</v>
      </c>
      <c r="D45" s="177">
        <f>FS!E27</f>
        <v>2996.8700000000003</v>
      </c>
      <c r="E45" s="177">
        <f>FS!F27</f>
        <v>3179.95</v>
      </c>
      <c r="F45" s="177">
        <f>FS!G27</f>
        <v>3416.5700000000024</v>
      </c>
      <c r="G45" s="177">
        <f>FS!H27</f>
        <v>3731.3699999999981</v>
      </c>
    </row>
    <row r="46" spans="2:7" ht="15" thickBot="1" x14ac:dyDescent="0.4">
      <c r="B46" t="s">
        <v>287</v>
      </c>
      <c r="C46" s="188">
        <v>0.3</v>
      </c>
      <c r="D46" s="188">
        <f>C46</f>
        <v>0.3</v>
      </c>
      <c r="E46" s="188">
        <f t="shared" ref="E46:G46" si="8">D46</f>
        <v>0.3</v>
      </c>
      <c r="F46" s="188">
        <f t="shared" si="8"/>
        <v>0.3</v>
      </c>
      <c r="G46" s="188">
        <f t="shared" si="8"/>
        <v>0.3</v>
      </c>
    </row>
    <row r="47" spans="2:7" x14ac:dyDescent="0.35">
      <c r="B47" s="176" t="s">
        <v>288</v>
      </c>
      <c r="C47" s="186">
        <f>C45*(1-C46)</f>
        <v>1863.9950000000017</v>
      </c>
      <c r="D47" s="186">
        <f t="shared" ref="D47:G47" si="9">D45*(1-D46)</f>
        <v>2097.8090000000002</v>
      </c>
      <c r="E47" s="186">
        <f t="shared" si="9"/>
        <v>2225.9649999999997</v>
      </c>
      <c r="F47" s="186">
        <f t="shared" si="9"/>
        <v>2391.5990000000015</v>
      </c>
      <c r="G47" s="186">
        <f t="shared" si="9"/>
        <v>2611.9589999999985</v>
      </c>
    </row>
    <row r="48" spans="2:7" x14ac:dyDescent="0.35">
      <c r="C48" s="177"/>
      <c r="D48" s="177"/>
      <c r="E48" s="177"/>
      <c r="F48" s="177"/>
      <c r="G48" s="177"/>
    </row>
    <row r="49" spans="2:7" ht="15" thickBot="1" x14ac:dyDescent="0.4">
      <c r="B49" t="s">
        <v>289</v>
      </c>
      <c r="C49" s="177"/>
      <c r="D49" s="177">
        <f>SUM(D42:D43)</f>
        <v>3245</v>
      </c>
      <c r="E49" s="177">
        <f t="shared" ref="E49:G49" si="10">SUM(E42:E43)</f>
        <v>2000</v>
      </c>
      <c r="F49" s="177">
        <f t="shared" si="10"/>
        <v>2098</v>
      </c>
      <c r="G49" s="177">
        <f t="shared" si="10"/>
        <v>1740</v>
      </c>
    </row>
    <row r="50" spans="2:7" ht="15" thickBot="1" x14ac:dyDescent="0.4">
      <c r="B50" s="184" t="s">
        <v>290</v>
      </c>
      <c r="C50" s="189"/>
      <c r="D50" s="189">
        <f>D49/D47</f>
        <v>1.5468519774679199</v>
      </c>
      <c r="E50" s="189">
        <f t="shared" ref="E50:G50" si="11">E49/E47</f>
        <v>0.8984867237355485</v>
      </c>
      <c r="F50" s="189">
        <f t="shared" si="11"/>
        <v>0.87723736295256804</v>
      </c>
      <c r="G50" s="189">
        <f t="shared" si="11"/>
        <v>0.66616665881815185</v>
      </c>
    </row>
    <row r="51" spans="2:7" ht="15" thickTop="1" x14ac:dyDescent="0.35">
      <c r="E51" s="190" t="s">
        <v>291</v>
      </c>
      <c r="F51" s="190"/>
      <c r="G51" s="191">
        <f>AVERAGE(D50:G50)</f>
        <v>0.99718568074354708</v>
      </c>
    </row>
    <row r="52" spans="2:7" x14ac:dyDescent="0.35">
      <c r="E52" s="190" t="s">
        <v>292</v>
      </c>
      <c r="F52" s="190"/>
      <c r="G52" s="191">
        <f>MEDIAN(D50:G50)</f>
        <v>0.88786204334405827</v>
      </c>
    </row>
    <row r="54" spans="2:7" x14ac:dyDescent="0.35">
      <c r="B54" s="21" t="str">
        <f>"Intrinsic Growth Calculation - "&amp;'Profit &amp; Loss'!$A$1</f>
        <v>Intrinsic Growth Calculation - ASIAN PAINTS LTD</v>
      </c>
      <c r="C54" s="170"/>
      <c r="D54" s="170">
        <f>'Raw FS'!K3</f>
        <v>44621</v>
      </c>
      <c r="E54" s="170">
        <f>'Raw FS'!L3</f>
        <v>44986</v>
      </c>
      <c r="F54" s="170">
        <f>'Raw FS'!M3</f>
        <v>45352</v>
      </c>
      <c r="G54" s="170">
        <f>'Raw FS'!N3</f>
        <v>45717</v>
      </c>
    </row>
    <row r="55" spans="2:7" x14ac:dyDescent="0.35">
      <c r="B55" s="128" t="str">
        <f>B37</f>
        <v>ROIC</v>
      </c>
      <c r="C55" s="128"/>
      <c r="D55" s="128">
        <f>D37</f>
        <v>0.32426639255572393</v>
      </c>
      <c r="E55" s="128">
        <f t="shared" ref="E55:G55" si="12">E37</f>
        <v>0.31565912249354772</v>
      </c>
      <c r="F55" s="128">
        <f t="shared" si="12"/>
        <v>0.30896816784228637</v>
      </c>
      <c r="G55" s="128">
        <f t="shared" si="12"/>
        <v>0.28590682706306014</v>
      </c>
    </row>
    <row r="56" spans="2:7" x14ac:dyDescent="0.35">
      <c r="B56" s="128" t="str">
        <f>B50</f>
        <v>Reinvestment Rate</v>
      </c>
      <c r="C56" s="128"/>
      <c r="D56" s="128">
        <f>D50</f>
        <v>1.5468519774679199</v>
      </c>
      <c r="E56" s="128">
        <f t="shared" ref="E56:G56" si="13">E50</f>
        <v>0.8984867237355485</v>
      </c>
      <c r="F56" s="128">
        <f t="shared" si="13"/>
        <v>0.87723736295256804</v>
      </c>
      <c r="G56" s="128">
        <f t="shared" si="13"/>
        <v>0.66616665881815185</v>
      </c>
    </row>
    <row r="57" spans="2:7" ht="15" thickBot="1" x14ac:dyDescent="0.4"/>
    <row r="58" spans="2:7" ht="15" thickBot="1" x14ac:dyDescent="0.4">
      <c r="B58" s="192" t="s">
        <v>293</v>
      </c>
      <c r="C58" s="192"/>
      <c r="D58" s="193">
        <f>D55*D56</f>
        <v>0.50159211055121034</v>
      </c>
      <c r="E58" s="193">
        <f t="shared" ref="E58:G58" si="14">E55*E56</f>
        <v>0.2836155307864659</v>
      </c>
      <c r="F58" s="193">
        <f t="shared" si="14"/>
        <v>0.27103842079425372</v>
      </c>
      <c r="G58" s="193">
        <f t="shared" si="14"/>
        <v>0.19046159571789792</v>
      </c>
    </row>
    <row r="59" spans="2:7" ht="15" thickTop="1" x14ac:dyDescent="0.35">
      <c r="E59" s="190" t="s">
        <v>291</v>
      </c>
      <c r="F59" s="190"/>
      <c r="G59" s="191">
        <f>AVERAGE(D58:G58)</f>
        <v>0.31167691446245699</v>
      </c>
    </row>
    <row r="60" spans="2:7" x14ac:dyDescent="0.35">
      <c r="E60" s="190" t="s">
        <v>292</v>
      </c>
      <c r="F60" s="190"/>
      <c r="G60" s="191">
        <f>MEDIAN(D58:G58)</f>
        <v>0.27732697579035981</v>
      </c>
    </row>
  </sheetData>
  <mergeCells count="1">
    <mergeCell ref="B2:G3"/>
  </mergeCells>
  <pageMargins left="0.7" right="0.7" top="0.75" bottom="0.75" header="0.3" footer="0.3"/>
  <ignoredErrors>
    <ignoredError sqref="C42:G4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1470-40C6-451C-9AEB-E4C9082E4897}">
  <dimension ref="B3:N70"/>
  <sheetViews>
    <sheetView showGridLines="0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J52" sqref="J52:J53"/>
    </sheetView>
  </sheetViews>
  <sheetFormatPr defaultRowHeight="14.5" x14ac:dyDescent="0.35"/>
  <cols>
    <col min="1" max="1" width="1.81640625" customWidth="1"/>
    <col min="2" max="2" width="23.1796875" bestFit="1" customWidth="1"/>
    <col min="3" max="4" width="6.90625" bestFit="1" customWidth="1"/>
    <col min="5" max="14" width="7.90625" bestFit="1" customWidth="1"/>
  </cols>
  <sheetData>
    <row r="3" spans="2:14" x14ac:dyDescent="0.35">
      <c r="C3" s="170">
        <v>41699</v>
      </c>
      <c r="D3" s="170">
        <v>42064</v>
      </c>
      <c r="E3" s="170">
        <v>42430</v>
      </c>
      <c r="F3" s="170">
        <v>42795</v>
      </c>
      <c r="G3" s="170">
        <v>43160</v>
      </c>
      <c r="H3" s="170">
        <v>43525</v>
      </c>
      <c r="I3" s="170">
        <v>43891</v>
      </c>
      <c r="J3" s="170">
        <v>44256</v>
      </c>
      <c r="K3" s="170">
        <v>44621</v>
      </c>
      <c r="L3" s="170">
        <v>44986</v>
      </c>
      <c r="M3" s="170">
        <v>45352</v>
      </c>
      <c r="N3" s="170">
        <v>45717</v>
      </c>
    </row>
    <row r="4" spans="2:14" x14ac:dyDescent="0.35">
      <c r="B4" t="s">
        <v>242</v>
      </c>
      <c r="C4" s="171">
        <v>96</v>
      </c>
      <c r="D4" s="171">
        <v>96</v>
      </c>
      <c r="E4" s="171">
        <v>96</v>
      </c>
      <c r="F4" s="171">
        <v>96</v>
      </c>
      <c r="G4" s="171">
        <v>96</v>
      </c>
      <c r="H4" s="171">
        <v>96</v>
      </c>
      <c r="I4" s="171">
        <v>96</v>
      </c>
      <c r="J4" s="171">
        <v>96</v>
      </c>
      <c r="K4" s="171">
        <v>96</v>
      </c>
      <c r="L4" s="171">
        <v>96</v>
      </c>
      <c r="M4" s="171">
        <v>96</v>
      </c>
      <c r="N4" s="171">
        <v>96</v>
      </c>
    </row>
    <row r="5" spans="2:14" x14ac:dyDescent="0.35">
      <c r="B5" t="s">
        <v>25</v>
      </c>
      <c r="C5" s="171">
        <v>3943</v>
      </c>
      <c r="D5" s="171">
        <v>4646</v>
      </c>
      <c r="E5" s="171">
        <v>6429</v>
      </c>
      <c r="F5" s="171">
        <v>7508</v>
      </c>
      <c r="G5" s="171">
        <v>8314</v>
      </c>
      <c r="H5" s="171">
        <v>9375</v>
      </c>
      <c r="I5" s="171">
        <v>10034</v>
      </c>
      <c r="J5" s="171">
        <v>12710</v>
      </c>
      <c r="K5" s="171">
        <v>13716</v>
      </c>
      <c r="L5" s="171">
        <v>15896</v>
      </c>
      <c r="M5" s="171">
        <v>18632</v>
      </c>
      <c r="N5" s="171">
        <v>19304</v>
      </c>
    </row>
    <row r="6" spans="2:14" x14ac:dyDescent="0.35">
      <c r="B6" s="2" t="s">
        <v>243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</row>
    <row r="7" spans="2:14" x14ac:dyDescent="0.35">
      <c r="B7" t="s">
        <v>244</v>
      </c>
      <c r="C7" s="171">
        <v>41</v>
      </c>
      <c r="D7" s="171">
        <v>78</v>
      </c>
      <c r="E7" s="171">
        <v>73</v>
      </c>
      <c r="F7" s="171">
        <v>41</v>
      </c>
      <c r="G7" s="171">
        <v>28</v>
      </c>
      <c r="H7" s="171">
        <v>19</v>
      </c>
      <c r="I7" s="171">
        <v>19</v>
      </c>
      <c r="J7" s="171">
        <v>15</v>
      </c>
      <c r="K7" s="171">
        <v>45</v>
      </c>
      <c r="L7" s="171">
        <v>76</v>
      </c>
      <c r="M7" s="171">
        <v>54</v>
      </c>
      <c r="N7" s="171">
        <v>260</v>
      </c>
    </row>
    <row r="8" spans="2:14" x14ac:dyDescent="0.35">
      <c r="B8" t="s">
        <v>245</v>
      </c>
      <c r="C8" s="171">
        <v>199</v>
      </c>
      <c r="D8" s="171">
        <v>332</v>
      </c>
      <c r="E8" s="171">
        <v>231</v>
      </c>
      <c r="F8" s="171">
        <v>504</v>
      </c>
      <c r="G8" s="171">
        <v>492</v>
      </c>
      <c r="H8" s="171">
        <v>597</v>
      </c>
      <c r="I8" s="171">
        <v>321</v>
      </c>
      <c r="J8" s="171">
        <v>334</v>
      </c>
      <c r="K8" s="171">
        <v>731</v>
      </c>
      <c r="L8" s="171">
        <v>896</v>
      </c>
      <c r="M8" s="171">
        <v>1053</v>
      </c>
      <c r="N8" s="171">
        <v>604</v>
      </c>
    </row>
    <row r="9" spans="2:14" x14ac:dyDescent="0.35">
      <c r="B9" t="s">
        <v>246</v>
      </c>
      <c r="C9" s="171">
        <v>0</v>
      </c>
      <c r="D9" s="171">
        <v>0</v>
      </c>
      <c r="E9" s="171">
        <v>0</v>
      </c>
      <c r="F9" s="171">
        <v>0</v>
      </c>
      <c r="G9" s="171">
        <v>0</v>
      </c>
      <c r="H9" s="171">
        <v>693</v>
      </c>
      <c r="I9" s="171">
        <v>764</v>
      </c>
      <c r="J9" s="171">
        <v>745</v>
      </c>
      <c r="K9" s="171">
        <v>811</v>
      </c>
      <c r="L9" s="171">
        <v>960</v>
      </c>
      <c r="M9" s="171">
        <v>1367</v>
      </c>
      <c r="N9" s="171">
        <v>1427</v>
      </c>
    </row>
    <row r="10" spans="2:14" x14ac:dyDescent="0.35">
      <c r="B10" t="s">
        <v>247</v>
      </c>
      <c r="C10" s="171">
        <v>9</v>
      </c>
      <c r="D10" s="171">
        <v>8</v>
      </c>
      <c r="E10" s="171">
        <v>20</v>
      </c>
      <c r="F10" s="171">
        <v>15</v>
      </c>
      <c r="G10" s="171">
        <v>13</v>
      </c>
      <c r="H10" s="171">
        <v>11</v>
      </c>
      <c r="I10" s="171">
        <v>15</v>
      </c>
      <c r="J10" s="171">
        <v>0</v>
      </c>
      <c r="K10" s="171">
        <v>0</v>
      </c>
      <c r="L10" s="171">
        <v>0</v>
      </c>
      <c r="M10" s="171">
        <v>0</v>
      </c>
      <c r="N10" s="171">
        <v>0</v>
      </c>
    </row>
    <row r="11" spans="2:14" x14ac:dyDescent="0.35">
      <c r="B11" s="2" t="s">
        <v>248</v>
      </c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</row>
    <row r="12" spans="2:14" x14ac:dyDescent="0.35">
      <c r="B12" t="s">
        <v>249</v>
      </c>
      <c r="C12" s="171">
        <v>246</v>
      </c>
      <c r="D12" s="171">
        <v>264</v>
      </c>
      <c r="E12" s="171">
        <v>384</v>
      </c>
      <c r="F12" s="171">
        <v>375</v>
      </c>
      <c r="G12" s="171">
        <v>328</v>
      </c>
      <c r="H12" s="171">
        <v>361</v>
      </c>
      <c r="I12" s="171">
        <v>404</v>
      </c>
      <c r="J12" s="171">
        <v>423</v>
      </c>
      <c r="K12" s="171">
        <v>388</v>
      </c>
      <c r="L12" s="171">
        <v>454</v>
      </c>
      <c r="M12" s="171">
        <v>695</v>
      </c>
      <c r="N12" s="171">
        <v>659</v>
      </c>
    </row>
    <row r="13" spans="2:14" x14ac:dyDescent="0.35">
      <c r="B13" t="s">
        <v>250</v>
      </c>
      <c r="C13" s="171">
        <v>1746</v>
      </c>
      <c r="D13" s="171">
        <v>1549</v>
      </c>
      <c r="E13" s="171">
        <v>1565</v>
      </c>
      <c r="F13" s="171">
        <v>1923</v>
      </c>
      <c r="G13" s="171">
        <v>2160</v>
      </c>
      <c r="H13" s="171">
        <v>2394</v>
      </c>
      <c r="I13" s="171">
        <v>2137</v>
      </c>
      <c r="J13" s="171">
        <v>3379</v>
      </c>
      <c r="K13" s="171">
        <v>4164</v>
      </c>
      <c r="L13" s="171">
        <v>3635</v>
      </c>
      <c r="M13" s="171">
        <v>3831</v>
      </c>
      <c r="N13" s="171">
        <v>3848</v>
      </c>
    </row>
    <row r="14" spans="2:14" x14ac:dyDescent="0.35">
      <c r="B14" t="s">
        <v>251</v>
      </c>
      <c r="C14" s="171">
        <v>0</v>
      </c>
      <c r="D14" s="171">
        <v>5</v>
      </c>
      <c r="E14" s="171">
        <v>12</v>
      </c>
      <c r="F14" s="171">
        <v>17</v>
      </c>
      <c r="G14" s="171">
        <v>16</v>
      </c>
      <c r="H14" s="171">
        <v>13</v>
      </c>
      <c r="I14" s="171">
        <v>29</v>
      </c>
      <c r="J14" s="171">
        <v>41</v>
      </c>
      <c r="K14" s="171">
        <v>76</v>
      </c>
      <c r="L14" s="171">
        <v>108</v>
      </c>
      <c r="M14" s="171">
        <v>154</v>
      </c>
      <c r="N14" s="171">
        <v>173</v>
      </c>
    </row>
    <row r="15" spans="2:14" x14ac:dyDescent="0.35">
      <c r="B15" t="s">
        <v>252</v>
      </c>
      <c r="C15" s="171">
        <v>1795</v>
      </c>
      <c r="D15" s="171">
        <v>1937</v>
      </c>
      <c r="E15" s="171">
        <v>1750</v>
      </c>
      <c r="F15" s="171">
        <v>1925</v>
      </c>
      <c r="G15" s="171">
        <v>2316</v>
      </c>
      <c r="H15" s="171">
        <v>2690</v>
      </c>
      <c r="I15" s="171">
        <v>2320</v>
      </c>
      <c r="J15" s="171">
        <v>2613</v>
      </c>
      <c r="K15" s="171">
        <v>2932</v>
      </c>
      <c r="L15" s="171">
        <v>3657</v>
      </c>
      <c r="M15" s="171">
        <v>4017</v>
      </c>
      <c r="N15" s="171">
        <v>3985</v>
      </c>
    </row>
    <row r="16" spans="2:14" x14ac:dyDescent="0.35">
      <c r="B16" s="2" t="s">
        <v>100</v>
      </c>
      <c r="C16" s="172">
        <v>8075</v>
      </c>
      <c r="D16" s="172">
        <v>8914</v>
      </c>
      <c r="E16" s="172">
        <v>10559</v>
      </c>
      <c r="F16" s="172">
        <v>12405</v>
      </c>
      <c r="G16" s="172">
        <v>13763</v>
      </c>
      <c r="H16" s="172">
        <v>16249</v>
      </c>
      <c r="I16" s="172">
        <v>16138</v>
      </c>
      <c r="J16" s="172">
        <v>20355</v>
      </c>
      <c r="K16" s="172">
        <v>22958</v>
      </c>
      <c r="L16" s="172">
        <v>25779</v>
      </c>
      <c r="M16" s="172">
        <v>29901</v>
      </c>
      <c r="N16" s="172">
        <v>30355</v>
      </c>
    </row>
    <row r="17" spans="2:14" x14ac:dyDescent="0.35">
      <c r="B17" s="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</row>
    <row r="18" spans="2:14" x14ac:dyDescent="0.35">
      <c r="B18" s="2" t="s">
        <v>253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</row>
    <row r="19" spans="2:14" x14ac:dyDescent="0.35">
      <c r="B19" t="s">
        <v>254</v>
      </c>
      <c r="C19" s="171">
        <v>247</v>
      </c>
      <c r="D19" s="171">
        <v>251</v>
      </c>
      <c r="E19" s="171">
        <v>429</v>
      </c>
      <c r="F19" s="171">
        <v>408</v>
      </c>
      <c r="G19" s="171">
        <v>586</v>
      </c>
      <c r="H19" s="171">
        <v>605</v>
      </c>
      <c r="I19" s="171">
        <v>640</v>
      </c>
      <c r="J19" s="171">
        <v>644</v>
      </c>
      <c r="K19" s="171">
        <v>644</v>
      </c>
      <c r="L19" s="171">
        <v>804</v>
      </c>
      <c r="M19" s="171">
        <v>1126</v>
      </c>
      <c r="N19" s="171">
        <v>1050</v>
      </c>
    </row>
    <row r="20" spans="2:14" x14ac:dyDescent="0.35">
      <c r="B20" t="s">
        <v>255</v>
      </c>
      <c r="C20" s="171">
        <v>931</v>
      </c>
      <c r="D20" s="171">
        <v>962</v>
      </c>
      <c r="E20" s="171">
        <v>923</v>
      </c>
      <c r="F20" s="171">
        <v>931</v>
      </c>
      <c r="G20" s="171">
        <v>957</v>
      </c>
      <c r="H20" s="171">
        <v>2402</v>
      </c>
      <c r="I20" s="171">
        <v>2257</v>
      </c>
      <c r="J20" s="171">
        <v>2249</v>
      </c>
      <c r="K20" s="171">
        <v>2325</v>
      </c>
      <c r="L20" s="171">
        <v>2883</v>
      </c>
      <c r="M20" s="171">
        <v>3390</v>
      </c>
      <c r="N20" s="171">
        <v>4136</v>
      </c>
    </row>
    <row r="21" spans="2:14" x14ac:dyDescent="0.35">
      <c r="B21" t="s">
        <v>256</v>
      </c>
      <c r="C21" s="171">
        <v>2054</v>
      </c>
      <c r="D21" s="171">
        <v>2132</v>
      </c>
      <c r="E21" s="171">
        <v>1793</v>
      </c>
      <c r="F21" s="171">
        <v>1980</v>
      </c>
      <c r="G21" s="171">
        <v>2157</v>
      </c>
      <c r="H21" s="171">
        <v>4006</v>
      </c>
      <c r="I21" s="171">
        <v>4208</v>
      </c>
      <c r="J21" s="171">
        <v>4340</v>
      </c>
      <c r="K21" s="171">
        <v>4531</v>
      </c>
      <c r="L21" s="171">
        <v>4825</v>
      </c>
      <c r="M21" s="171">
        <v>5422</v>
      </c>
      <c r="N21" s="171">
        <v>7576</v>
      </c>
    </row>
    <row r="22" spans="2:14" x14ac:dyDescent="0.35">
      <c r="B22" t="s">
        <v>257</v>
      </c>
      <c r="C22" s="171">
        <v>155</v>
      </c>
      <c r="D22" s="171">
        <v>171</v>
      </c>
      <c r="E22" s="171">
        <v>97</v>
      </c>
      <c r="F22" s="171">
        <v>119</v>
      </c>
      <c r="G22" s="171">
        <v>200</v>
      </c>
      <c r="H22" s="171">
        <v>221</v>
      </c>
      <c r="I22" s="171">
        <v>241</v>
      </c>
      <c r="J22" s="171">
        <v>243</v>
      </c>
      <c r="K22" s="171">
        <v>253</v>
      </c>
      <c r="L22" s="171">
        <v>270</v>
      </c>
      <c r="M22" s="171">
        <v>298</v>
      </c>
      <c r="N22" s="171">
        <v>325</v>
      </c>
    </row>
    <row r="23" spans="2:14" x14ac:dyDescent="0.35">
      <c r="B23" t="s">
        <v>258</v>
      </c>
      <c r="C23" s="171">
        <v>71</v>
      </c>
      <c r="D23" s="171">
        <v>83</v>
      </c>
      <c r="E23" s="171">
        <v>49</v>
      </c>
      <c r="F23" s="171">
        <v>59</v>
      </c>
      <c r="G23" s="171">
        <v>72</v>
      </c>
      <c r="H23" s="171">
        <v>88</v>
      </c>
      <c r="I23" s="171">
        <v>94</v>
      </c>
      <c r="J23" s="171">
        <v>99</v>
      </c>
      <c r="K23" s="171">
        <v>113</v>
      </c>
      <c r="L23" s="171">
        <v>146</v>
      </c>
      <c r="M23" s="171">
        <v>175</v>
      </c>
      <c r="N23" s="171">
        <v>203</v>
      </c>
    </row>
    <row r="24" spans="2:14" x14ac:dyDescent="0.35">
      <c r="B24" t="s">
        <v>259</v>
      </c>
      <c r="C24" s="171">
        <v>14</v>
      </c>
      <c r="D24" s="171">
        <v>18</v>
      </c>
      <c r="E24" s="171">
        <v>11</v>
      </c>
      <c r="F24" s="171">
        <v>14</v>
      </c>
      <c r="G24" s="171">
        <v>27</v>
      </c>
      <c r="H24" s="171">
        <v>47</v>
      </c>
      <c r="I24" s="171">
        <v>43</v>
      </c>
      <c r="J24" s="171">
        <v>38</v>
      </c>
      <c r="K24" s="171">
        <v>32</v>
      </c>
      <c r="L24" s="171">
        <v>36</v>
      </c>
      <c r="M24" s="171">
        <v>40</v>
      </c>
      <c r="N24" s="171">
        <v>39</v>
      </c>
    </row>
    <row r="25" spans="2:14" x14ac:dyDescent="0.35">
      <c r="B25" t="s">
        <v>260</v>
      </c>
      <c r="C25" s="171">
        <v>203</v>
      </c>
      <c r="D25" s="171">
        <v>351</v>
      </c>
      <c r="E25" s="171">
        <v>339</v>
      </c>
      <c r="F25" s="171">
        <v>276</v>
      </c>
      <c r="G25" s="171">
        <v>468</v>
      </c>
      <c r="H25" s="171">
        <v>512</v>
      </c>
      <c r="I25" s="171">
        <v>505</v>
      </c>
      <c r="J25" s="171">
        <v>476</v>
      </c>
      <c r="K25" s="171">
        <v>345</v>
      </c>
      <c r="L25" s="171">
        <v>422</v>
      </c>
      <c r="M25" s="171">
        <v>850</v>
      </c>
      <c r="N25" s="171">
        <v>827</v>
      </c>
    </row>
    <row r="26" spans="2:14" x14ac:dyDescent="0.35">
      <c r="B26" t="s">
        <v>261</v>
      </c>
      <c r="C26" s="171">
        <v>128</v>
      </c>
      <c r="D26" s="171">
        <v>145</v>
      </c>
      <c r="E26" s="171">
        <v>103</v>
      </c>
      <c r="F26" s="171">
        <v>128</v>
      </c>
      <c r="G26" s="171">
        <v>238</v>
      </c>
      <c r="H26" s="171">
        <v>261</v>
      </c>
      <c r="I26" s="171">
        <v>293</v>
      </c>
      <c r="J26" s="171">
        <v>302</v>
      </c>
      <c r="K26" s="171">
        <v>294</v>
      </c>
      <c r="L26" s="171">
        <v>289</v>
      </c>
      <c r="M26" s="171">
        <v>321</v>
      </c>
      <c r="N26" s="171">
        <v>328</v>
      </c>
    </row>
    <row r="27" spans="2:14" x14ac:dyDescent="0.35">
      <c r="B27" s="182" t="s">
        <v>262</v>
      </c>
      <c r="C27" s="183">
        <v>3804</v>
      </c>
      <c r="D27" s="183">
        <v>4112</v>
      </c>
      <c r="E27" s="183">
        <v>3744</v>
      </c>
      <c r="F27" s="183">
        <v>3914</v>
      </c>
      <c r="G27" s="183">
        <v>4705</v>
      </c>
      <c r="H27" s="183">
        <v>8141</v>
      </c>
      <c r="I27" s="183">
        <v>8282</v>
      </c>
      <c r="J27" s="183">
        <v>8392</v>
      </c>
      <c r="K27" s="183">
        <v>8538</v>
      </c>
      <c r="L27" s="183">
        <v>9676</v>
      </c>
      <c r="M27" s="183">
        <v>11622</v>
      </c>
      <c r="N27" s="183">
        <v>14484</v>
      </c>
    </row>
    <row r="28" spans="2:14" x14ac:dyDescent="0.35">
      <c r="B28" s="2" t="s">
        <v>263</v>
      </c>
      <c r="C28" s="171">
        <v>1242</v>
      </c>
      <c r="D28" s="171">
        <v>1452</v>
      </c>
      <c r="E28" s="171">
        <v>327</v>
      </c>
      <c r="F28" s="171">
        <v>610</v>
      </c>
      <c r="G28" s="171">
        <v>973</v>
      </c>
      <c r="H28" s="171">
        <v>1644</v>
      </c>
      <c r="I28" s="171">
        <v>2010</v>
      </c>
      <c r="J28" s="171">
        <v>2533</v>
      </c>
      <c r="K28" s="171">
        <v>3019</v>
      </c>
      <c r="L28" s="171">
        <v>3905</v>
      </c>
      <c r="M28" s="171">
        <v>4475</v>
      </c>
      <c r="N28" s="171">
        <v>5264</v>
      </c>
    </row>
    <row r="29" spans="2:14" x14ac:dyDescent="0.35">
      <c r="B29" s="174" t="s">
        <v>27</v>
      </c>
      <c r="C29" s="175">
        <f>C27-C28</f>
        <v>2562</v>
      </c>
      <c r="D29" s="175">
        <f t="shared" ref="D29:N29" si="0">D27-D28</f>
        <v>2660</v>
      </c>
      <c r="E29" s="175">
        <f t="shared" si="0"/>
        <v>3417</v>
      </c>
      <c r="F29" s="175">
        <f t="shared" si="0"/>
        <v>3304</v>
      </c>
      <c r="G29" s="175">
        <f t="shared" si="0"/>
        <v>3732</v>
      </c>
      <c r="H29" s="175">
        <f t="shared" si="0"/>
        <v>6497</v>
      </c>
      <c r="I29" s="175">
        <f t="shared" si="0"/>
        <v>6272</v>
      </c>
      <c r="J29" s="175">
        <f t="shared" si="0"/>
        <v>5859</v>
      </c>
      <c r="K29" s="175">
        <f t="shared" si="0"/>
        <v>5519</v>
      </c>
      <c r="L29" s="175">
        <f t="shared" si="0"/>
        <v>5771</v>
      </c>
      <c r="M29" s="175">
        <f t="shared" si="0"/>
        <v>7147</v>
      </c>
      <c r="N29" s="175">
        <f t="shared" si="0"/>
        <v>9220</v>
      </c>
    </row>
    <row r="30" spans="2:14" x14ac:dyDescent="0.35">
      <c r="B30" s="2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</row>
    <row r="31" spans="2:14" x14ac:dyDescent="0.35">
      <c r="B31" s="169" t="s">
        <v>264</v>
      </c>
      <c r="C31" s="173">
        <v>72</v>
      </c>
      <c r="D31" s="173">
        <v>196</v>
      </c>
      <c r="E31" s="173">
        <v>107</v>
      </c>
      <c r="F31" s="173">
        <v>258</v>
      </c>
      <c r="G31" s="173">
        <v>1405</v>
      </c>
      <c r="H31" s="173">
        <v>210</v>
      </c>
      <c r="I31" s="173">
        <v>140</v>
      </c>
      <c r="J31" s="173">
        <v>183</v>
      </c>
      <c r="K31" s="173">
        <v>426</v>
      </c>
      <c r="L31" s="173">
        <v>1020</v>
      </c>
      <c r="M31" s="173">
        <v>2698</v>
      </c>
      <c r="N31" s="173">
        <v>1254</v>
      </c>
    </row>
    <row r="32" spans="2:14" x14ac:dyDescent="0.35">
      <c r="B32" s="2" t="s">
        <v>29</v>
      </c>
      <c r="C32" s="171">
        <v>1424</v>
      </c>
      <c r="D32" s="171">
        <v>1588</v>
      </c>
      <c r="E32" s="171">
        <v>2712</v>
      </c>
      <c r="F32" s="171">
        <v>2652</v>
      </c>
      <c r="G32" s="171">
        <v>2141</v>
      </c>
      <c r="H32" s="171">
        <v>2569</v>
      </c>
      <c r="I32" s="171">
        <v>2019</v>
      </c>
      <c r="J32" s="171">
        <v>4737</v>
      </c>
      <c r="K32" s="171">
        <v>3248</v>
      </c>
      <c r="L32" s="171">
        <v>4262</v>
      </c>
      <c r="M32" s="171">
        <v>4588</v>
      </c>
      <c r="N32" s="171">
        <v>4725</v>
      </c>
    </row>
    <row r="33" spans="2:14" x14ac:dyDescent="0.35">
      <c r="B33" s="2" t="s">
        <v>265</v>
      </c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</row>
    <row r="34" spans="2:14" x14ac:dyDescent="0.35">
      <c r="B34" t="s">
        <v>266</v>
      </c>
      <c r="C34" s="171">
        <v>2070</v>
      </c>
      <c r="D34" s="171">
        <v>2259</v>
      </c>
      <c r="E34" s="171">
        <v>1998</v>
      </c>
      <c r="F34" s="171">
        <v>2627</v>
      </c>
      <c r="G34" s="171">
        <v>2658</v>
      </c>
      <c r="H34" s="171">
        <v>3150</v>
      </c>
      <c r="I34" s="171">
        <v>3390</v>
      </c>
      <c r="J34" s="171">
        <v>3799</v>
      </c>
      <c r="K34" s="171">
        <v>6153</v>
      </c>
      <c r="L34" s="171">
        <v>6211</v>
      </c>
      <c r="M34" s="171">
        <v>5923</v>
      </c>
      <c r="N34" s="171">
        <v>6719</v>
      </c>
    </row>
    <row r="35" spans="2:14" x14ac:dyDescent="0.35">
      <c r="B35" t="s">
        <v>267</v>
      </c>
      <c r="C35" s="171">
        <v>1110</v>
      </c>
      <c r="D35" s="171">
        <v>1182</v>
      </c>
      <c r="E35" s="171">
        <v>1187</v>
      </c>
      <c r="F35" s="171">
        <v>1447</v>
      </c>
      <c r="G35" s="171">
        <v>1731</v>
      </c>
      <c r="H35" s="171">
        <v>1907</v>
      </c>
      <c r="I35" s="171">
        <v>1795</v>
      </c>
      <c r="J35" s="171">
        <v>2602</v>
      </c>
      <c r="K35" s="171">
        <v>3871</v>
      </c>
      <c r="L35" s="171">
        <v>4637</v>
      </c>
      <c r="M35" s="171">
        <v>4889</v>
      </c>
      <c r="N35" s="171">
        <v>4314</v>
      </c>
    </row>
    <row r="36" spans="2:14" x14ac:dyDescent="0.35">
      <c r="B36" t="s">
        <v>268</v>
      </c>
      <c r="C36" s="171">
        <v>229</v>
      </c>
      <c r="D36" s="171">
        <v>204</v>
      </c>
      <c r="E36" s="171">
        <v>424</v>
      </c>
      <c r="F36" s="171">
        <v>801</v>
      </c>
      <c r="G36" s="171">
        <v>405</v>
      </c>
      <c r="H36" s="171">
        <v>445</v>
      </c>
      <c r="I36" s="171">
        <v>783</v>
      </c>
      <c r="J36" s="171">
        <v>611</v>
      </c>
      <c r="K36" s="171">
        <v>864</v>
      </c>
      <c r="L36" s="171">
        <v>844</v>
      </c>
      <c r="M36" s="171">
        <v>1084</v>
      </c>
      <c r="N36" s="171">
        <v>782</v>
      </c>
    </row>
    <row r="37" spans="2:14" x14ac:dyDescent="0.35">
      <c r="B37" t="s">
        <v>269</v>
      </c>
      <c r="C37" s="171">
        <v>7</v>
      </c>
      <c r="D37" s="171">
        <v>8</v>
      </c>
      <c r="E37" s="171">
        <v>9</v>
      </c>
      <c r="F37" s="171">
        <v>14</v>
      </c>
      <c r="G37" s="171">
        <v>13</v>
      </c>
      <c r="H37" s="171">
        <v>16</v>
      </c>
      <c r="I37" s="171">
        <v>12</v>
      </c>
      <c r="J37" s="171">
        <v>11</v>
      </c>
      <c r="K37" s="171">
        <v>8</v>
      </c>
      <c r="L37" s="171">
        <v>12</v>
      </c>
      <c r="M37" s="171">
        <v>17</v>
      </c>
      <c r="N37" s="171">
        <v>22</v>
      </c>
    </row>
    <row r="38" spans="2:14" x14ac:dyDescent="0.35">
      <c r="B38" t="s">
        <v>270</v>
      </c>
      <c r="C38" s="171">
        <v>603</v>
      </c>
      <c r="D38" s="171">
        <v>817</v>
      </c>
      <c r="E38" s="171">
        <v>705</v>
      </c>
      <c r="F38" s="171">
        <v>1303</v>
      </c>
      <c r="G38" s="171">
        <v>1678</v>
      </c>
      <c r="H38" s="171">
        <v>1456</v>
      </c>
      <c r="I38" s="171">
        <v>1727</v>
      </c>
      <c r="J38" s="171">
        <v>2555</v>
      </c>
      <c r="K38" s="171">
        <v>2869</v>
      </c>
      <c r="L38" s="171">
        <v>3024</v>
      </c>
      <c r="M38" s="171">
        <v>3555</v>
      </c>
      <c r="N38" s="171">
        <v>3319</v>
      </c>
    </row>
    <row r="39" spans="2:14" x14ac:dyDescent="0.35">
      <c r="B39" s="2" t="s">
        <v>271</v>
      </c>
      <c r="C39" s="172">
        <v>8075</v>
      </c>
      <c r="D39" s="172">
        <v>8914</v>
      </c>
      <c r="E39" s="172">
        <v>10559</v>
      </c>
      <c r="F39" s="172">
        <v>12405</v>
      </c>
      <c r="G39" s="172">
        <v>13763</v>
      </c>
      <c r="H39" s="172">
        <v>16249</v>
      </c>
      <c r="I39" s="172">
        <v>16138</v>
      </c>
      <c r="J39" s="172">
        <v>20355</v>
      </c>
      <c r="K39" s="172">
        <v>22958</v>
      </c>
      <c r="L39" s="172">
        <v>25779</v>
      </c>
      <c r="M39" s="172">
        <v>29901</v>
      </c>
      <c r="N39" s="172">
        <v>30355</v>
      </c>
    </row>
    <row r="42" spans="2:14" x14ac:dyDescent="0.35">
      <c r="C42" s="267" t="s">
        <v>284</v>
      </c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</row>
    <row r="43" spans="2:14" x14ac:dyDescent="0.35">
      <c r="B43" t="s">
        <v>281</v>
      </c>
      <c r="C43" s="82">
        <v>1402</v>
      </c>
      <c r="D43" s="82">
        <v>1188</v>
      </c>
      <c r="E43" s="82">
        <v>2243</v>
      </c>
      <c r="F43" s="82">
        <v>1527</v>
      </c>
      <c r="G43" s="82">
        <v>2113</v>
      </c>
      <c r="H43" s="82">
        <v>2470</v>
      </c>
      <c r="I43" s="82">
        <v>3038</v>
      </c>
      <c r="J43" s="82">
        <v>3683</v>
      </c>
      <c r="K43">
        <v>986</v>
      </c>
      <c r="L43" s="82">
        <v>4193</v>
      </c>
      <c r="M43" s="82">
        <v>6104</v>
      </c>
      <c r="N43" s="82">
        <v>4424</v>
      </c>
    </row>
    <row r="44" spans="2:14" x14ac:dyDescent="0.35">
      <c r="B44" t="s">
        <v>105</v>
      </c>
      <c r="C44" s="82">
        <v>2051</v>
      </c>
      <c r="D44" s="82">
        <v>2271</v>
      </c>
      <c r="E44" s="82">
        <v>2848</v>
      </c>
      <c r="F44" s="82">
        <v>3056</v>
      </c>
      <c r="G44" s="82">
        <v>3274</v>
      </c>
      <c r="H44" s="82">
        <v>3861</v>
      </c>
      <c r="I44" s="82">
        <v>4380</v>
      </c>
      <c r="J44" s="82">
        <v>4970</v>
      </c>
      <c r="K44" s="82">
        <v>4957</v>
      </c>
      <c r="L44" s="82">
        <v>6460</v>
      </c>
      <c r="M44" s="82">
        <v>7929</v>
      </c>
      <c r="N44" s="82">
        <v>6390</v>
      </c>
    </row>
    <row r="45" spans="2:14" x14ac:dyDescent="0.35">
      <c r="B45" t="s">
        <v>69</v>
      </c>
      <c r="C45">
        <v>-254</v>
      </c>
      <c r="D45">
        <v>-155</v>
      </c>
      <c r="E45">
        <v>-146</v>
      </c>
      <c r="F45">
        <v>-475</v>
      </c>
      <c r="G45">
        <v>-483</v>
      </c>
      <c r="H45">
        <v>-205</v>
      </c>
      <c r="I45">
        <v>160</v>
      </c>
      <c r="J45">
        <v>-849</v>
      </c>
      <c r="K45" s="82">
        <v>-1326</v>
      </c>
      <c r="L45">
        <v>-834</v>
      </c>
      <c r="M45">
        <v>-362</v>
      </c>
      <c r="N45">
        <v>282</v>
      </c>
    </row>
    <row r="46" spans="2:14" x14ac:dyDescent="0.35">
      <c r="B46" t="s">
        <v>45</v>
      </c>
      <c r="C46">
        <v>-231</v>
      </c>
      <c r="D46">
        <v>-144</v>
      </c>
      <c r="E46">
        <v>202</v>
      </c>
      <c r="F46">
        <v>-629</v>
      </c>
      <c r="G46">
        <v>-39</v>
      </c>
      <c r="H46">
        <v>-492</v>
      </c>
      <c r="I46">
        <v>-251</v>
      </c>
      <c r="J46">
        <v>-409</v>
      </c>
      <c r="K46" s="82">
        <v>-2354</v>
      </c>
      <c r="L46">
        <v>-56</v>
      </c>
      <c r="M46">
        <v>315</v>
      </c>
      <c r="N46">
        <v>-805</v>
      </c>
    </row>
    <row r="47" spans="2:14" x14ac:dyDescent="0.35">
      <c r="B47" t="s">
        <v>106</v>
      </c>
      <c r="C47">
        <v>317</v>
      </c>
      <c r="D47">
        <v>-151</v>
      </c>
      <c r="E47">
        <v>142</v>
      </c>
      <c r="F47">
        <v>501</v>
      </c>
      <c r="G47">
        <v>442</v>
      </c>
      <c r="H47">
        <v>287</v>
      </c>
      <c r="I47">
        <v>-241</v>
      </c>
      <c r="J47" s="82">
        <v>1143</v>
      </c>
      <c r="K47">
        <v>644</v>
      </c>
      <c r="L47">
        <v>-539</v>
      </c>
      <c r="M47">
        <v>269</v>
      </c>
      <c r="N47">
        <v>-160</v>
      </c>
    </row>
    <row r="48" spans="2:14" x14ac:dyDescent="0.35">
      <c r="B48" t="s">
        <v>107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-92</v>
      </c>
      <c r="K48">
        <v>242</v>
      </c>
      <c r="L48">
        <v>657</v>
      </c>
      <c r="M48">
        <v>-212</v>
      </c>
      <c r="N48">
        <v>114</v>
      </c>
    </row>
    <row r="49" spans="2:14" x14ac:dyDescent="0.35">
      <c r="B49" t="s">
        <v>108</v>
      </c>
      <c r="C49">
        <v>-168</v>
      </c>
      <c r="D49">
        <v>-450</v>
      </c>
      <c r="E49">
        <v>198</v>
      </c>
      <c r="F49">
        <v>-603</v>
      </c>
      <c r="G49">
        <v>-80</v>
      </c>
      <c r="H49">
        <v>-410</v>
      </c>
      <c r="I49">
        <v>-331</v>
      </c>
      <c r="J49">
        <v>-206</v>
      </c>
      <c r="K49" s="82">
        <v>-2795</v>
      </c>
      <c r="L49">
        <v>-772</v>
      </c>
      <c r="M49">
        <v>10</v>
      </c>
      <c r="N49">
        <v>-570</v>
      </c>
    </row>
    <row r="50" spans="2:14" x14ac:dyDescent="0.35">
      <c r="B50" t="s">
        <v>109</v>
      </c>
      <c r="C50">
        <v>-480</v>
      </c>
      <c r="D50">
        <v>-633</v>
      </c>
      <c r="E50">
        <v>-802</v>
      </c>
      <c r="F50">
        <v>-925</v>
      </c>
      <c r="G50" s="82">
        <v>-1081</v>
      </c>
      <c r="H50">
        <v>-982</v>
      </c>
      <c r="I50" s="82">
        <v>-1011</v>
      </c>
      <c r="J50" s="82">
        <v>-1080</v>
      </c>
      <c r="K50" s="82">
        <v>-1176</v>
      </c>
      <c r="L50" s="82">
        <v>-1494</v>
      </c>
      <c r="M50" s="82">
        <v>-1835</v>
      </c>
      <c r="N50" s="82">
        <v>-1396</v>
      </c>
    </row>
    <row r="51" spans="2:14" x14ac:dyDescent="0.35">
      <c r="B51" t="s">
        <v>282</v>
      </c>
      <c r="C51">
        <v>-586</v>
      </c>
      <c r="D51">
        <v>-465</v>
      </c>
      <c r="E51">
        <v>-866</v>
      </c>
      <c r="F51">
        <v>-681</v>
      </c>
      <c r="G51" s="82">
        <v>-1556</v>
      </c>
      <c r="H51">
        <v>-918</v>
      </c>
      <c r="I51">
        <v>-518</v>
      </c>
      <c r="J51">
        <v>-541</v>
      </c>
      <c r="K51">
        <v>-317</v>
      </c>
      <c r="L51" s="82">
        <v>-1282</v>
      </c>
      <c r="M51" s="82">
        <v>-2548</v>
      </c>
      <c r="N51">
        <v>-941</v>
      </c>
    </row>
    <row r="52" spans="2:14" x14ac:dyDescent="0.35">
      <c r="B52" t="s">
        <v>110</v>
      </c>
      <c r="C52">
        <v>-251</v>
      </c>
      <c r="D52">
        <v>-454</v>
      </c>
      <c r="E52">
        <v>-817</v>
      </c>
      <c r="F52">
        <v>-684</v>
      </c>
      <c r="G52" s="82">
        <v>-1426</v>
      </c>
      <c r="H52" s="82">
        <v>-1151</v>
      </c>
      <c r="I52">
        <v>-404</v>
      </c>
      <c r="J52">
        <v>-282</v>
      </c>
      <c r="K52">
        <v>-551</v>
      </c>
      <c r="L52" s="82">
        <v>-1446</v>
      </c>
      <c r="M52" s="82">
        <v>-2496</v>
      </c>
      <c r="N52" s="82">
        <v>-1830</v>
      </c>
    </row>
    <row r="53" spans="2:14" x14ac:dyDescent="0.35">
      <c r="B53" t="s">
        <v>111</v>
      </c>
      <c r="C53">
        <v>16</v>
      </c>
      <c r="D53">
        <v>16</v>
      </c>
      <c r="E53">
        <v>15</v>
      </c>
      <c r="F53">
        <v>17</v>
      </c>
      <c r="G53">
        <v>17</v>
      </c>
      <c r="H53">
        <v>17</v>
      </c>
      <c r="I53">
        <v>37</v>
      </c>
      <c r="J53">
        <v>28</v>
      </c>
      <c r="K53">
        <v>40</v>
      </c>
      <c r="L53">
        <v>26</v>
      </c>
      <c r="M53">
        <v>5</v>
      </c>
      <c r="N53">
        <v>10</v>
      </c>
    </row>
    <row r="54" spans="2:14" x14ac:dyDescent="0.35">
      <c r="B54" t="s">
        <v>112</v>
      </c>
      <c r="C54">
        <v>-872</v>
      </c>
      <c r="D54">
        <v>-243</v>
      </c>
      <c r="E54">
        <v>-282</v>
      </c>
      <c r="F54">
        <v>-153</v>
      </c>
      <c r="G54">
        <v>-320</v>
      </c>
      <c r="H54">
        <v>-573</v>
      </c>
      <c r="I54">
        <v>-25</v>
      </c>
      <c r="J54">
        <v>-140</v>
      </c>
      <c r="K54">
        <v>0</v>
      </c>
      <c r="L54">
        <v>-146</v>
      </c>
      <c r="M54">
        <v>-212</v>
      </c>
      <c r="N54">
        <v>-1</v>
      </c>
    </row>
    <row r="55" spans="2:14" x14ac:dyDescent="0.35">
      <c r="B55" t="s">
        <v>113</v>
      </c>
      <c r="C55">
        <v>463</v>
      </c>
      <c r="D55">
        <v>278</v>
      </c>
      <c r="E55">
        <v>205</v>
      </c>
      <c r="F55">
        <v>357</v>
      </c>
      <c r="G55">
        <v>362</v>
      </c>
      <c r="H55">
        <v>733</v>
      </c>
      <c r="I55">
        <v>134</v>
      </c>
      <c r="J55">
        <v>272</v>
      </c>
      <c r="K55">
        <v>207</v>
      </c>
      <c r="L55">
        <v>446</v>
      </c>
      <c r="M55">
        <v>240</v>
      </c>
      <c r="N55">
        <v>421</v>
      </c>
    </row>
    <row r="56" spans="2:14" x14ac:dyDescent="0.35">
      <c r="B56" t="s">
        <v>114</v>
      </c>
      <c r="C56">
        <v>14</v>
      </c>
      <c r="D56">
        <v>11</v>
      </c>
      <c r="E56">
        <v>15</v>
      </c>
      <c r="F56">
        <v>32</v>
      </c>
      <c r="G56">
        <v>39</v>
      </c>
      <c r="H56">
        <v>40</v>
      </c>
      <c r="I56">
        <v>65</v>
      </c>
      <c r="J56">
        <v>73</v>
      </c>
      <c r="K56">
        <v>77</v>
      </c>
      <c r="L56">
        <v>87</v>
      </c>
      <c r="M56">
        <v>135</v>
      </c>
      <c r="N56">
        <v>155</v>
      </c>
    </row>
    <row r="57" spans="2:14" x14ac:dyDescent="0.35">
      <c r="B57" t="s">
        <v>115</v>
      </c>
      <c r="C57">
        <v>65</v>
      </c>
      <c r="D57">
        <v>71</v>
      </c>
      <c r="E57">
        <v>69</v>
      </c>
      <c r="F57">
        <v>74</v>
      </c>
      <c r="G57">
        <v>38</v>
      </c>
      <c r="H57">
        <v>40</v>
      </c>
      <c r="I57">
        <v>27</v>
      </c>
      <c r="J57">
        <v>8</v>
      </c>
      <c r="K57">
        <v>15</v>
      </c>
      <c r="L57">
        <v>56</v>
      </c>
      <c r="M57">
        <v>129</v>
      </c>
      <c r="N57">
        <v>136</v>
      </c>
    </row>
    <row r="58" spans="2:14" x14ac:dyDescent="0.35">
      <c r="B58" t="s">
        <v>116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-180</v>
      </c>
      <c r="M58">
        <v>0</v>
      </c>
      <c r="N58">
        <v>0</v>
      </c>
    </row>
    <row r="59" spans="2:14" x14ac:dyDescent="0.35">
      <c r="B59" t="s">
        <v>117</v>
      </c>
      <c r="C59">
        <v>0</v>
      </c>
      <c r="D59">
        <v>0</v>
      </c>
      <c r="E59">
        <v>0</v>
      </c>
      <c r="F59">
        <v>0</v>
      </c>
      <c r="G59">
        <v>141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38</v>
      </c>
    </row>
    <row r="60" spans="2:14" x14ac:dyDescent="0.35">
      <c r="B60" t="s">
        <v>118</v>
      </c>
      <c r="C60">
        <v>0</v>
      </c>
      <c r="D60">
        <v>0</v>
      </c>
      <c r="E60">
        <v>0</v>
      </c>
      <c r="F60">
        <v>0</v>
      </c>
      <c r="G60">
        <v>-525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2:14" x14ac:dyDescent="0.35">
      <c r="B61" t="s">
        <v>119</v>
      </c>
      <c r="C61">
        <v>-21</v>
      </c>
      <c r="D61">
        <v>-144</v>
      </c>
      <c r="E61">
        <v>-70</v>
      </c>
      <c r="F61">
        <v>-324</v>
      </c>
      <c r="G61">
        <v>118</v>
      </c>
      <c r="H61">
        <v>-24</v>
      </c>
      <c r="I61">
        <v>-353</v>
      </c>
      <c r="J61">
        <v>-500</v>
      </c>
      <c r="K61">
        <v>-105</v>
      </c>
      <c r="L61">
        <v>-126</v>
      </c>
      <c r="M61">
        <v>-350</v>
      </c>
      <c r="N61">
        <v>130</v>
      </c>
    </row>
    <row r="62" spans="2:14" x14ac:dyDescent="0.35">
      <c r="B62" t="s">
        <v>283</v>
      </c>
      <c r="C62">
        <v>-626</v>
      </c>
      <c r="D62">
        <v>-576</v>
      </c>
      <c r="E62">
        <v>-849</v>
      </c>
      <c r="F62">
        <v>-756</v>
      </c>
      <c r="G62" s="82">
        <v>-1379</v>
      </c>
      <c r="H62" s="82">
        <v>-1117</v>
      </c>
      <c r="I62" s="82">
        <v>-2871</v>
      </c>
      <c r="J62">
        <v>-650</v>
      </c>
      <c r="K62" s="82">
        <v>-1808</v>
      </c>
      <c r="L62" s="82">
        <v>-2140</v>
      </c>
      <c r="M62" s="82">
        <v>-2982</v>
      </c>
      <c r="N62" s="82">
        <v>-3753</v>
      </c>
    </row>
    <row r="63" spans="2:14" x14ac:dyDescent="0.35">
      <c r="B63" t="s">
        <v>120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</row>
    <row r="64" spans="2:14" x14ac:dyDescent="0.35">
      <c r="B64" t="s">
        <v>121</v>
      </c>
      <c r="C64">
        <v>44</v>
      </c>
      <c r="D64">
        <v>239</v>
      </c>
      <c r="E64">
        <v>8</v>
      </c>
      <c r="F64">
        <v>271</v>
      </c>
      <c r="G64">
        <v>10</v>
      </c>
      <c r="H64">
        <v>243</v>
      </c>
      <c r="I64">
        <v>18</v>
      </c>
      <c r="J64">
        <v>155</v>
      </c>
      <c r="K64">
        <v>418</v>
      </c>
      <c r="L64">
        <v>254</v>
      </c>
      <c r="M64">
        <v>101</v>
      </c>
      <c r="N64">
        <v>415</v>
      </c>
    </row>
    <row r="65" spans="2:14" x14ac:dyDescent="0.35">
      <c r="B65" t="s">
        <v>122</v>
      </c>
      <c r="C65">
        <v>-81</v>
      </c>
      <c r="D65">
        <v>-86</v>
      </c>
      <c r="E65">
        <v>-119</v>
      </c>
      <c r="F65">
        <v>-58</v>
      </c>
      <c r="G65">
        <v>-54</v>
      </c>
      <c r="H65">
        <v>-26</v>
      </c>
      <c r="I65">
        <v>-279</v>
      </c>
      <c r="J65">
        <v>-14</v>
      </c>
      <c r="K65">
        <v>-8</v>
      </c>
      <c r="L65">
        <v>-25</v>
      </c>
      <c r="M65">
        <v>-98</v>
      </c>
      <c r="N65">
        <v>-428</v>
      </c>
    </row>
    <row r="66" spans="2:14" x14ac:dyDescent="0.35">
      <c r="B66" t="s">
        <v>123</v>
      </c>
      <c r="C66">
        <v>-42</v>
      </c>
      <c r="D66">
        <v>-35</v>
      </c>
      <c r="E66">
        <v>-40</v>
      </c>
      <c r="F66">
        <v>-36</v>
      </c>
      <c r="G66">
        <v>-35</v>
      </c>
      <c r="H66">
        <v>-106</v>
      </c>
      <c r="I66">
        <v>-101</v>
      </c>
      <c r="J66">
        <v>-89</v>
      </c>
      <c r="K66">
        <v>-94</v>
      </c>
      <c r="L66">
        <v>-142</v>
      </c>
      <c r="M66">
        <v>-191</v>
      </c>
      <c r="N66">
        <v>-203</v>
      </c>
    </row>
    <row r="67" spans="2:14" x14ac:dyDescent="0.35">
      <c r="B67" t="s">
        <v>124</v>
      </c>
      <c r="C67">
        <v>-547</v>
      </c>
      <c r="D67">
        <v>-695</v>
      </c>
      <c r="E67">
        <v>-764</v>
      </c>
      <c r="F67">
        <v>-947</v>
      </c>
      <c r="G67" s="82">
        <v>-1218</v>
      </c>
      <c r="H67" s="82">
        <v>-1049</v>
      </c>
      <c r="I67" s="82">
        <v>-2121</v>
      </c>
      <c r="J67">
        <v>-499</v>
      </c>
      <c r="K67" s="82">
        <v>-1763</v>
      </c>
      <c r="L67" s="82">
        <v>-1936</v>
      </c>
      <c r="M67" s="82">
        <v>-2551</v>
      </c>
      <c r="N67" s="82">
        <v>-3140</v>
      </c>
    </row>
    <row r="68" spans="2:14" x14ac:dyDescent="0.35">
      <c r="B68" t="s">
        <v>125</v>
      </c>
      <c r="C68">
        <v>0</v>
      </c>
      <c r="D68">
        <v>0</v>
      </c>
      <c r="E68">
        <v>0</v>
      </c>
      <c r="F68">
        <v>0</v>
      </c>
      <c r="G68">
        <v>0</v>
      </c>
      <c r="H68">
        <v>-180</v>
      </c>
      <c r="I68">
        <v>-179</v>
      </c>
      <c r="J68">
        <v>-203</v>
      </c>
      <c r="K68">
        <v>-221</v>
      </c>
      <c r="L68">
        <v>-256</v>
      </c>
      <c r="M68">
        <v>-286</v>
      </c>
      <c r="N68">
        <v>-325</v>
      </c>
    </row>
    <row r="69" spans="2:14" x14ac:dyDescent="0.35">
      <c r="B69" t="s">
        <v>126</v>
      </c>
      <c r="C69">
        <v>0</v>
      </c>
      <c r="D69">
        <v>0</v>
      </c>
      <c r="E69">
        <v>66</v>
      </c>
      <c r="F69">
        <v>13</v>
      </c>
      <c r="G69">
        <v>-82</v>
      </c>
      <c r="H69">
        <v>0</v>
      </c>
      <c r="I69">
        <v>-209</v>
      </c>
      <c r="J69">
        <v>0</v>
      </c>
      <c r="K69">
        <v>-140</v>
      </c>
      <c r="L69">
        <v>-36</v>
      </c>
      <c r="M69">
        <v>41</v>
      </c>
      <c r="N69">
        <v>-72</v>
      </c>
    </row>
    <row r="70" spans="2:14" x14ac:dyDescent="0.35">
      <c r="B70" t="s">
        <v>35</v>
      </c>
      <c r="C70">
        <v>190</v>
      </c>
      <c r="D70">
        <v>147</v>
      </c>
      <c r="E70">
        <v>528</v>
      </c>
      <c r="F70">
        <v>90</v>
      </c>
      <c r="G70">
        <v>-822</v>
      </c>
      <c r="H70">
        <v>434</v>
      </c>
      <c r="I70">
        <v>-351</v>
      </c>
      <c r="J70" s="82">
        <v>2492</v>
      </c>
      <c r="K70" s="82">
        <v>-1138</v>
      </c>
      <c r="L70">
        <v>771</v>
      </c>
      <c r="M70">
        <v>573</v>
      </c>
      <c r="N70">
        <v>-270</v>
      </c>
    </row>
  </sheetData>
  <mergeCells count="1">
    <mergeCell ref="C42:N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A69B-6582-4A50-AEA4-679D8877212F}">
  <dimension ref="B2:M12"/>
  <sheetViews>
    <sheetView workbookViewId="0">
      <selection activeCell="O2" sqref="O2"/>
    </sheetView>
  </sheetViews>
  <sheetFormatPr defaultRowHeight="14.5" x14ac:dyDescent="0.35"/>
  <cols>
    <col min="2" max="2" width="5.1796875" bestFit="1" customWidth="1"/>
    <col min="3" max="3" width="17.08984375" bestFit="1" customWidth="1"/>
    <col min="4" max="4" width="7.81640625" bestFit="1" customWidth="1"/>
    <col min="5" max="5" width="15.7265625" bestFit="1" customWidth="1"/>
    <col min="6" max="6" width="15.7265625" customWidth="1"/>
    <col min="7" max="7" width="10.08984375" bestFit="1" customWidth="1"/>
    <col min="8" max="8" width="13.81640625" bestFit="1" customWidth="1"/>
    <col min="9" max="9" width="9.81640625" bestFit="1" customWidth="1"/>
    <col min="10" max="10" width="9.81640625" customWidth="1"/>
    <col min="11" max="11" width="10.26953125" bestFit="1" customWidth="1"/>
    <col min="12" max="12" width="10.7265625" bestFit="1" customWidth="1"/>
    <col min="13" max="13" width="12.54296875" bestFit="1" customWidth="1"/>
    <col min="14" max="14" width="13.7265625" bestFit="1" customWidth="1"/>
  </cols>
  <sheetData>
    <row r="2" spans="2:13" x14ac:dyDescent="0.35">
      <c r="B2" s="239" t="s">
        <v>333</v>
      </c>
      <c r="C2" s="239" t="s">
        <v>334</v>
      </c>
      <c r="D2" s="239" t="s">
        <v>335</v>
      </c>
      <c r="E2" s="239" t="s">
        <v>336</v>
      </c>
      <c r="F2" s="239" t="s">
        <v>343</v>
      </c>
      <c r="G2" s="239" t="s">
        <v>337</v>
      </c>
      <c r="H2" s="239" t="s">
        <v>338</v>
      </c>
      <c r="I2" s="239" t="s">
        <v>339</v>
      </c>
      <c r="J2" s="239" t="s">
        <v>340</v>
      </c>
      <c r="K2" s="272" t="s">
        <v>86</v>
      </c>
      <c r="L2" s="239" t="s">
        <v>341</v>
      </c>
      <c r="M2" s="239" t="s">
        <v>342</v>
      </c>
    </row>
    <row r="3" spans="2:13" x14ac:dyDescent="0.35">
      <c r="B3" s="152">
        <v>1</v>
      </c>
      <c r="C3" t="s">
        <v>224</v>
      </c>
      <c r="D3">
        <v>2536.1</v>
      </c>
      <c r="E3">
        <v>95.92</v>
      </c>
      <c r="F3">
        <v>243262.14</v>
      </c>
      <c r="G3">
        <v>2290.29</v>
      </c>
      <c r="H3">
        <v>781.98</v>
      </c>
      <c r="I3">
        <v>244770.45</v>
      </c>
      <c r="J3">
        <v>33874.44</v>
      </c>
      <c r="K3" s="210">
        <f t="shared" ref="K3:K12" si="0">I3/L3</f>
        <v>6687.7172131147545</v>
      </c>
      <c r="L3">
        <v>36.6</v>
      </c>
      <c r="M3">
        <v>3639.97</v>
      </c>
    </row>
    <row r="4" spans="2:13" x14ac:dyDescent="0.35">
      <c r="B4" s="152">
        <v>2</v>
      </c>
      <c r="C4" t="s">
        <v>186</v>
      </c>
      <c r="D4">
        <v>532.5</v>
      </c>
      <c r="E4">
        <v>116.59</v>
      </c>
      <c r="F4">
        <v>62083.93</v>
      </c>
      <c r="G4">
        <v>670.27</v>
      </c>
      <c r="H4">
        <v>500.48</v>
      </c>
      <c r="I4">
        <v>62253.72</v>
      </c>
      <c r="J4">
        <v>11654.46</v>
      </c>
      <c r="K4" s="210">
        <f t="shared" si="0"/>
        <v>1985.7645933014353</v>
      </c>
      <c r="L4">
        <v>31.35</v>
      </c>
      <c r="M4">
        <v>1143.82</v>
      </c>
    </row>
    <row r="5" spans="2:13" x14ac:dyDescent="0.35">
      <c r="B5" s="152">
        <v>3</v>
      </c>
      <c r="C5" t="s">
        <v>328</v>
      </c>
      <c r="D5">
        <v>245.85</v>
      </c>
      <c r="E5">
        <v>80.849999999999994</v>
      </c>
      <c r="F5">
        <v>19877.04</v>
      </c>
      <c r="G5">
        <v>296.39</v>
      </c>
      <c r="H5">
        <v>290.06</v>
      </c>
      <c r="I5">
        <v>19883.37</v>
      </c>
      <c r="J5">
        <v>7851.94</v>
      </c>
      <c r="K5" s="210">
        <f t="shared" si="0"/>
        <v>1073.616090712743</v>
      </c>
      <c r="L5">
        <v>18.52</v>
      </c>
      <c r="M5">
        <v>1100.05</v>
      </c>
    </row>
    <row r="6" spans="2:13" x14ac:dyDescent="0.35">
      <c r="B6" s="152">
        <v>4</v>
      </c>
      <c r="C6" t="s">
        <v>329</v>
      </c>
      <c r="D6">
        <v>3389.75</v>
      </c>
      <c r="E6">
        <v>4.55</v>
      </c>
      <c r="F6">
        <v>15437.03</v>
      </c>
      <c r="G6">
        <v>62.1</v>
      </c>
      <c r="H6">
        <v>299.5</v>
      </c>
      <c r="I6">
        <v>15199.63</v>
      </c>
      <c r="J6">
        <v>4050</v>
      </c>
      <c r="K6" s="210">
        <f t="shared" si="0"/>
        <v>633.58190912880366</v>
      </c>
      <c r="L6">
        <v>23.99</v>
      </c>
      <c r="M6">
        <v>405</v>
      </c>
    </row>
    <row r="7" spans="2:13" x14ac:dyDescent="0.35">
      <c r="B7" s="152">
        <v>5</v>
      </c>
      <c r="C7" t="s">
        <v>188</v>
      </c>
      <c r="D7">
        <v>1130</v>
      </c>
      <c r="E7">
        <v>4.76</v>
      </c>
      <c r="F7">
        <v>5382.74</v>
      </c>
      <c r="G7">
        <v>19.7</v>
      </c>
      <c r="H7">
        <v>37.1</v>
      </c>
      <c r="I7">
        <v>5365.34</v>
      </c>
      <c r="J7">
        <v>1278.0999999999999</v>
      </c>
      <c r="K7" s="210">
        <f t="shared" si="0"/>
        <v>248.51042149143123</v>
      </c>
      <c r="L7">
        <v>21.59</v>
      </c>
      <c r="M7">
        <v>143.84</v>
      </c>
    </row>
    <row r="8" spans="2:13" x14ac:dyDescent="0.35">
      <c r="B8" s="152">
        <v>6</v>
      </c>
      <c r="C8" t="s">
        <v>219</v>
      </c>
      <c r="D8">
        <v>461.75</v>
      </c>
      <c r="E8">
        <v>5.48</v>
      </c>
      <c r="F8">
        <v>2530.8200000000002</v>
      </c>
      <c r="G8">
        <v>8.33</v>
      </c>
      <c r="H8">
        <v>54.2</v>
      </c>
      <c r="I8">
        <v>2484.9499999999998</v>
      </c>
      <c r="J8">
        <v>409.37</v>
      </c>
      <c r="K8" s="210">
        <f t="shared" si="0"/>
        <v>79.901929260450146</v>
      </c>
      <c r="L8">
        <v>31.1</v>
      </c>
      <c r="M8">
        <v>53.05</v>
      </c>
    </row>
    <row r="9" spans="2:13" x14ac:dyDescent="0.35">
      <c r="B9" s="152">
        <v>7</v>
      </c>
      <c r="C9" t="s">
        <v>189</v>
      </c>
      <c r="D9">
        <v>74</v>
      </c>
      <c r="E9">
        <v>8.3699999999999992</v>
      </c>
      <c r="F9">
        <v>619.5</v>
      </c>
      <c r="G9">
        <v>163.86</v>
      </c>
      <c r="H9">
        <v>45.47</v>
      </c>
      <c r="I9">
        <v>737.89</v>
      </c>
      <c r="J9">
        <v>624.19000000000005</v>
      </c>
      <c r="K9" s="210">
        <f t="shared" si="0"/>
        <v>-32.520493609519612</v>
      </c>
      <c r="L9">
        <v>-22.69</v>
      </c>
      <c r="M9">
        <v>-69.790000000000006</v>
      </c>
    </row>
    <row r="10" spans="2:13" x14ac:dyDescent="0.35">
      <c r="B10" s="152">
        <v>8</v>
      </c>
      <c r="C10" t="s">
        <v>330</v>
      </c>
      <c r="D10">
        <v>9.06</v>
      </c>
      <c r="E10">
        <v>31.44</v>
      </c>
      <c r="F10">
        <v>284.81</v>
      </c>
      <c r="G10">
        <v>26.98</v>
      </c>
      <c r="H10">
        <v>5.9</v>
      </c>
      <c r="I10">
        <v>305.89</v>
      </c>
      <c r="J10">
        <v>261.89</v>
      </c>
      <c r="K10" s="210">
        <f t="shared" si="0"/>
        <v>16.770285087719298</v>
      </c>
      <c r="L10">
        <v>18.239999999999998</v>
      </c>
      <c r="M10">
        <v>5.94</v>
      </c>
    </row>
    <row r="11" spans="2:13" x14ac:dyDescent="0.35">
      <c r="B11" s="152">
        <v>9</v>
      </c>
      <c r="C11" t="s">
        <v>331</v>
      </c>
      <c r="D11">
        <v>200.5</v>
      </c>
      <c r="E11">
        <v>0.62</v>
      </c>
      <c r="F11">
        <v>123.89</v>
      </c>
      <c r="G11">
        <v>0</v>
      </c>
      <c r="H11">
        <v>5.76</v>
      </c>
      <c r="I11">
        <v>118.13</v>
      </c>
      <c r="J11">
        <v>48.01</v>
      </c>
      <c r="K11" s="210">
        <f t="shared" si="0"/>
        <v>10.435512367491166</v>
      </c>
      <c r="L11">
        <v>11.32</v>
      </c>
      <c r="M11">
        <v>8.0299999999999994</v>
      </c>
    </row>
    <row r="12" spans="2:13" x14ac:dyDescent="0.35">
      <c r="B12" s="152">
        <v>10</v>
      </c>
      <c r="C12" t="s">
        <v>332</v>
      </c>
      <c r="D12">
        <v>73</v>
      </c>
      <c r="E12">
        <v>1.53</v>
      </c>
      <c r="F12">
        <v>111.99</v>
      </c>
      <c r="G12">
        <v>8.1199999999999992</v>
      </c>
      <c r="H12">
        <v>0.36</v>
      </c>
      <c r="I12">
        <v>119.78</v>
      </c>
      <c r="J12">
        <v>11.66</v>
      </c>
      <c r="K12" s="210">
        <f t="shared" si="0"/>
        <v>2.0198988195615515</v>
      </c>
      <c r="L12">
        <v>59.3</v>
      </c>
      <c r="M12">
        <v>0.74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C5C-5843-4D57-B6EE-6A651CB8B5C5}">
  <sheetPr>
    <tabColor rgb="FF002060"/>
  </sheetPr>
  <dimension ref="B2:O43"/>
  <sheetViews>
    <sheetView showGridLines="0" topLeftCell="A29" zoomScaleNormal="100" workbookViewId="0">
      <selection activeCell="P33" sqref="P33"/>
    </sheetView>
  </sheetViews>
  <sheetFormatPr defaultRowHeight="14.5" x14ac:dyDescent="0.35"/>
  <cols>
    <col min="1" max="1" width="1.81640625" customWidth="1"/>
    <col min="2" max="2" width="21.54296875" customWidth="1"/>
    <col min="5" max="5" width="8.6328125" customWidth="1"/>
    <col min="6" max="6" width="11.54296875" customWidth="1"/>
    <col min="7" max="7" width="12.26953125" customWidth="1"/>
    <col min="8" max="8" width="11.90625" customWidth="1"/>
    <col min="9" max="9" width="9.6328125" customWidth="1"/>
    <col min="10" max="10" width="8.81640625" customWidth="1"/>
    <col min="11" max="11" width="8.7265625" customWidth="1"/>
    <col min="12" max="12" width="13.453125" customWidth="1"/>
    <col min="13" max="13" width="20" bestFit="1" customWidth="1"/>
  </cols>
  <sheetData>
    <row r="2" spans="2:14" ht="26" x14ac:dyDescent="0.6">
      <c r="B2" s="268" t="s">
        <v>172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61"/>
      <c r="N2" s="118"/>
    </row>
    <row r="3" spans="2:14" ht="14.5" customHeight="1" x14ac:dyDescent="0.6"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161"/>
      <c r="N3" s="118"/>
    </row>
    <row r="4" spans="2:14" ht="6" customHeight="1" x14ac:dyDescent="0.6"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3"/>
      <c r="N4" s="118"/>
    </row>
    <row r="5" spans="2:14" x14ac:dyDescent="0.35">
      <c r="B5" s="21" t="s">
        <v>207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</row>
    <row r="7" spans="2:14" x14ac:dyDescent="0.35">
      <c r="B7" s="117" t="s">
        <v>173</v>
      </c>
    </row>
    <row r="9" spans="2:14" x14ac:dyDescent="0.35">
      <c r="B9" t="s">
        <v>174</v>
      </c>
    </row>
    <row r="10" spans="2:14" x14ac:dyDescent="0.35">
      <c r="B10" s="123"/>
      <c r="C10" s="123"/>
      <c r="D10" s="123"/>
      <c r="E10" s="123"/>
      <c r="F10" s="123"/>
      <c r="G10" s="123"/>
      <c r="H10" s="123"/>
      <c r="I10" s="123"/>
      <c r="J10" s="124" t="s">
        <v>179</v>
      </c>
      <c r="K10" s="124" t="s">
        <v>179</v>
      </c>
      <c r="L10" s="123"/>
      <c r="M10" s="123"/>
    </row>
    <row r="11" spans="2:14" ht="16.5" x14ac:dyDescent="0.35">
      <c r="B11" s="125" t="s">
        <v>175</v>
      </c>
      <c r="C11" s="125"/>
      <c r="D11" s="125"/>
      <c r="E11" s="125"/>
      <c r="F11" s="126" t="s">
        <v>176</v>
      </c>
      <c r="G11" s="126" t="s">
        <v>177</v>
      </c>
      <c r="H11" s="126" t="s">
        <v>178</v>
      </c>
      <c r="I11" s="126" t="s">
        <v>182</v>
      </c>
      <c r="J11" s="126" t="s">
        <v>180</v>
      </c>
      <c r="K11" s="126" t="s">
        <v>181</v>
      </c>
      <c r="L11" s="126" t="s">
        <v>185</v>
      </c>
      <c r="M11" s="126" t="s">
        <v>184</v>
      </c>
    </row>
    <row r="12" spans="2:14" x14ac:dyDescent="0.35">
      <c r="B12" s="119" t="s">
        <v>224</v>
      </c>
      <c r="F12" s="122" t="s">
        <v>187</v>
      </c>
      <c r="G12" s="120">
        <v>2290</v>
      </c>
      <c r="H12" s="120">
        <v>244873.61</v>
      </c>
      <c r="I12" s="129">
        <v>0.3</v>
      </c>
      <c r="J12" s="139">
        <f>G12/H12</f>
        <v>9.3517631401766818E-3</v>
      </c>
      <c r="K12" s="139">
        <f>G12/(G12+H12)</f>
        <v>9.2651179516272646E-3</v>
      </c>
      <c r="L12" s="242">
        <f>Beta!AF8</f>
        <v>0.81569883128557186</v>
      </c>
      <c r="M12" s="136">
        <f>L12/(1+(1-I12)*J12)</f>
        <v>0.81039380365414349</v>
      </c>
    </row>
    <row r="13" spans="2:14" x14ac:dyDescent="0.35">
      <c r="B13" s="119" t="s">
        <v>186</v>
      </c>
      <c r="C13" s="119"/>
      <c r="D13" s="119"/>
      <c r="E13" s="119"/>
      <c r="F13" s="122" t="s">
        <v>187</v>
      </c>
      <c r="G13" s="120">
        <v>670</v>
      </c>
      <c r="H13" s="120">
        <v>63692.79</v>
      </c>
      <c r="I13" s="129">
        <v>0.3</v>
      </c>
      <c r="J13" s="139">
        <f>G13/H13</f>
        <v>1.0519244014903414E-2</v>
      </c>
      <c r="K13" s="139">
        <f>G13/(G13+H13)</f>
        <v>1.0409741404932881E-2</v>
      </c>
      <c r="L13" s="242">
        <f>Beta!AF9</f>
        <v>0.84864223749377043</v>
      </c>
      <c r="M13" s="136">
        <f>L13/(1+(1-I13)*J13)</f>
        <v>0.84243896278175601</v>
      </c>
    </row>
    <row r="14" spans="2:14" x14ac:dyDescent="0.35">
      <c r="B14" s="119" t="s">
        <v>188</v>
      </c>
      <c r="C14" s="119"/>
      <c r="D14" s="119"/>
      <c r="E14" s="119"/>
      <c r="F14" s="122" t="s">
        <v>187</v>
      </c>
      <c r="G14" s="120">
        <v>27.3</v>
      </c>
      <c r="H14" s="120">
        <v>5425.61</v>
      </c>
      <c r="I14" s="129">
        <v>0.3</v>
      </c>
      <c r="J14" s="139">
        <f t="shared" ref="J14:J17" si="0">G14/H14</f>
        <v>5.0316922889776456E-3</v>
      </c>
      <c r="K14" s="139">
        <f t="shared" ref="K14:K17" si="1">G14/(G14+H14)</f>
        <v>5.0065011159179228E-3</v>
      </c>
      <c r="L14" s="242">
        <f>Beta!AF10</f>
        <v>0.72419311073960124</v>
      </c>
      <c r="M14" s="136">
        <f t="shared" ref="M14:M17" si="2">L14/(1+(1-I14)*J14)</f>
        <v>0.72165132156656131</v>
      </c>
    </row>
    <row r="15" spans="2:14" x14ac:dyDescent="0.35">
      <c r="B15" s="119" t="s">
        <v>219</v>
      </c>
      <c r="C15" s="119"/>
      <c r="D15" s="119"/>
      <c r="E15" s="119"/>
      <c r="F15" s="122" t="s">
        <v>187</v>
      </c>
      <c r="G15" s="120">
        <v>50</v>
      </c>
      <c r="H15" s="120">
        <v>2516.81</v>
      </c>
      <c r="I15" s="129">
        <v>0.3</v>
      </c>
      <c r="J15" s="139">
        <f t="shared" si="0"/>
        <v>1.9866418203996331E-2</v>
      </c>
      <c r="K15" s="139">
        <f t="shared" si="1"/>
        <v>1.9479431668101652E-2</v>
      </c>
      <c r="L15" s="242">
        <f>Beta!AF11</f>
        <v>0.90098807790970303</v>
      </c>
      <c r="M15" s="136">
        <f t="shared" si="2"/>
        <v>0.88863034644582461</v>
      </c>
    </row>
    <row r="16" spans="2:14" x14ac:dyDescent="0.35">
      <c r="B16" s="119" t="s">
        <v>189</v>
      </c>
      <c r="C16" s="119"/>
      <c r="D16" s="119"/>
      <c r="E16" s="119"/>
      <c r="F16" s="122" t="s">
        <v>187</v>
      </c>
      <c r="G16" s="120">
        <v>164</v>
      </c>
      <c r="H16" s="120">
        <v>616.99</v>
      </c>
      <c r="I16" s="129">
        <v>0.3</v>
      </c>
      <c r="J16" s="139">
        <f t="shared" si="0"/>
        <v>0.26580657709201122</v>
      </c>
      <c r="K16" s="139">
        <f t="shared" si="1"/>
        <v>0.20998988463360607</v>
      </c>
      <c r="L16" s="242">
        <f>Beta!AF12</f>
        <v>0.69537713305008786</v>
      </c>
      <c r="M16" s="136">
        <f t="shared" si="2"/>
        <v>0.58628942363324688</v>
      </c>
    </row>
    <row r="17" spans="2:15" x14ac:dyDescent="0.35">
      <c r="B17" s="119" t="s">
        <v>190</v>
      </c>
      <c r="C17" s="119"/>
      <c r="D17" s="119"/>
      <c r="E17" s="119"/>
      <c r="F17" s="122" t="s">
        <v>187</v>
      </c>
      <c r="G17" s="120">
        <v>296</v>
      </c>
      <c r="H17" s="120">
        <v>20042.86</v>
      </c>
      <c r="I17" s="129">
        <v>0.3</v>
      </c>
      <c r="J17" s="139">
        <f t="shared" si="0"/>
        <v>1.4768351422900724E-2</v>
      </c>
      <c r="K17" s="139">
        <f t="shared" si="1"/>
        <v>1.4553421381532691E-2</v>
      </c>
      <c r="L17" s="242">
        <f>Beta!AF13</f>
        <v>0.80537585615485185</v>
      </c>
      <c r="M17" s="136">
        <f t="shared" si="2"/>
        <v>0.79713519526815391</v>
      </c>
    </row>
    <row r="19" spans="2:15" x14ac:dyDescent="0.35">
      <c r="H19" s="61" t="s">
        <v>206</v>
      </c>
      <c r="I19" s="140">
        <f>AVERAGE(I13:I17)</f>
        <v>0.3</v>
      </c>
      <c r="J19" s="140">
        <f t="shared" ref="J19:L19" si="3">AVERAGE(J13:J17)</f>
        <v>6.3198456604557862E-2</v>
      </c>
      <c r="K19" s="140">
        <f t="shared" si="3"/>
        <v>5.1887796040818245E-2</v>
      </c>
      <c r="L19" s="137">
        <f t="shared" si="3"/>
        <v>0.79491528306960291</v>
      </c>
      <c r="M19" s="137">
        <f>AVERAGE(M13:M17)</f>
        <v>0.76722904993910856</v>
      </c>
    </row>
    <row r="20" spans="2:15" x14ac:dyDescent="0.35">
      <c r="H20" s="127" t="s">
        <v>169</v>
      </c>
      <c r="I20" s="141">
        <f>MEDIAN(I13:I17)</f>
        <v>0.3</v>
      </c>
      <c r="J20" s="141">
        <f t="shared" ref="J20:M20" si="4">MEDIAN(J13:J17)</f>
        <v>1.4768351422900724E-2</v>
      </c>
      <c r="K20" s="141">
        <f t="shared" si="4"/>
        <v>1.4553421381532691E-2</v>
      </c>
      <c r="L20" s="138">
        <f t="shared" si="4"/>
        <v>0.80537585615485185</v>
      </c>
      <c r="M20" s="138">
        <f t="shared" si="4"/>
        <v>0.79713519526815391</v>
      </c>
    </row>
    <row r="22" spans="2:15" x14ac:dyDescent="0.35">
      <c r="B22" s="244" t="s">
        <v>191</v>
      </c>
      <c r="C22" s="244"/>
      <c r="D22" s="244"/>
      <c r="E22" s="244"/>
      <c r="F22" s="244"/>
      <c r="G22" s="244"/>
      <c r="I22" s="244" t="s">
        <v>192</v>
      </c>
      <c r="J22" s="244"/>
      <c r="K22" s="244"/>
      <c r="L22" s="244"/>
      <c r="M22" s="244"/>
      <c r="N22" s="2"/>
      <c r="O22" s="2"/>
    </row>
    <row r="23" spans="2:15" ht="5.5" customHeight="1" x14ac:dyDescent="0.35"/>
    <row r="24" spans="2:15" x14ac:dyDescent="0.35">
      <c r="B24" t="s">
        <v>193</v>
      </c>
      <c r="G24" s="149">
        <f>216/G12</f>
        <v>9.4323144104803497E-2</v>
      </c>
      <c r="I24" t="s">
        <v>196</v>
      </c>
      <c r="M24" s="129">
        <v>6.4899999999999999E-2</v>
      </c>
    </row>
    <row r="25" spans="2:15" x14ac:dyDescent="0.35">
      <c r="B25" t="s">
        <v>194</v>
      </c>
      <c r="G25" s="128">
        <v>0.3</v>
      </c>
      <c r="I25" t="s">
        <v>197</v>
      </c>
      <c r="M25" s="129">
        <f>'Market Returns'!G8-WACC!M24</f>
        <v>8.8447999999999985E-2</v>
      </c>
    </row>
    <row r="26" spans="2:15" ht="16.5" x14ac:dyDescent="0.35">
      <c r="B26" s="130" t="s">
        <v>195</v>
      </c>
      <c r="C26" s="130"/>
      <c r="D26" s="130"/>
      <c r="E26" s="130"/>
      <c r="F26" s="130"/>
      <c r="G26" s="132">
        <f>G24*(1-G25)</f>
        <v>6.6026200873362445E-2</v>
      </c>
      <c r="I26" t="s">
        <v>204</v>
      </c>
      <c r="M26" s="121">
        <f>Beta!AF15</f>
        <v>0.80537585615485185</v>
      </c>
    </row>
    <row r="27" spans="2:15" x14ac:dyDescent="0.35">
      <c r="I27" s="130" t="s">
        <v>178</v>
      </c>
      <c r="J27" s="130"/>
      <c r="K27" s="130"/>
      <c r="L27" s="130"/>
      <c r="M27" s="135">
        <f>(M24+M25)*M26</f>
        <v>0.12350277678963421</v>
      </c>
    </row>
    <row r="29" spans="2:15" x14ac:dyDescent="0.35">
      <c r="B29" s="244" t="s">
        <v>198</v>
      </c>
      <c r="C29" s="245"/>
      <c r="D29" s="245"/>
      <c r="E29" s="245"/>
      <c r="F29" s="245"/>
      <c r="G29" s="245"/>
      <c r="I29" s="244" t="s">
        <v>183</v>
      </c>
      <c r="J29" s="244"/>
      <c r="K29" s="244"/>
      <c r="L29" s="244"/>
      <c r="M29" s="244"/>
    </row>
    <row r="30" spans="2:15" ht="5" customHeight="1" x14ac:dyDescent="0.35"/>
    <row r="31" spans="2:15" x14ac:dyDescent="0.35">
      <c r="F31" s="126" t="s">
        <v>199</v>
      </c>
      <c r="G31" s="126" t="s">
        <v>200</v>
      </c>
      <c r="I31" t="s">
        <v>202</v>
      </c>
      <c r="M31" s="146">
        <f>M20</f>
        <v>0.79713519526815391</v>
      </c>
    </row>
    <row r="32" spans="2:15" x14ac:dyDescent="0.35">
      <c r="B32" t="s">
        <v>177</v>
      </c>
      <c r="E32" s="241">
        <f>G13</f>
        <v>670</v>
      </c>
      <c r="F32" s="128">
        <f>E32/$E$34</f>
        <v>1.0409741404932881E-2</v>
      </c>
      <c r="G32" s="243">
        <f>K19</f>
        <v>5.1887796040818245E-2</v>
      </c>
      <c r="I32" t="s">
        <v>203</v>
      </c>
      <c r="M32" s="5">
        <f>G36</f>
        <v>5.4727484599546537E-2</v>
      </c>
    </row>
    <row r="33" spans="2:13" x14ac:dyDescent="0.35">
      <c r="B33" t="s">
        <v>178</v>
      </c>
      <c r="E33" s="241">
        <f>H13</f>
        <v>63692.79</v>
      </c>
      <c r="F33" s="128">
        <f>E33/$E$34</f>
        <v>0.98959025859506711</v>
      </c>
      <c r="G33" s="202">
        <f>G34-G32</f>
        <v>0.94811220395918172</v>
      </c>
      <c r="I33" t="s">
        <v>194</v>
      </c>
      <c r="M33" s="5">
        <f>G25</f>
        <v>0.3</v>
      </c>
    </row>
    <row r="34" spans="2:13" x14ac:dyDescent="0.35">
      <c r="B34" s="130" t="s">
        <v>198</v>
      </c>
      <c r="C34" s="130"/>
      <c r="D34" s="130"/>
      <c r="E34" s="130">
        <f>SUM(E32:E33)</f>
        <v>64362.79</v>
      </c>
      <c r="F34" s="134">
        <f>SUM(F32:F33)</f>
        <v>1</v>
      </c>
      <c r="G34" s="131">
        <f>F34</f>
        <v>1</v>
      </c>
      <c r="I34" s="130" t="s">
        <v>183</v>
      </c>
      <c r="J34" s="130"/>
      <c r="K34" s="130"/>
      <c r="L34" s="130"/>
      <c r="M34" s="133">
        <f>M31*(1+(1-M32)*M33)</f>
        <v>1.0231881926117616</v>
      </c>
    </row>
    <row r="36" spans="2:13" x14ac:dyDescent="0.35">
      <c r="B36" t="s">
        <v>201</v>
      </c>
      <c r="F36" s="139">
        <f>F32/F33</f>
        <v>1.0519244014903414E-2</v>
      </c>
      <c r="G36" s="139">
        <f>G32/G33</f>
        <v>5.4727484599546537E-2</v>
      </c>
      <c r="I36" s="244" t="s">
        <v>205</v>
      </c>
      <c r="J36" s="244"/>
      <c r="K36" s="244"/>
      <c r="L36" s="244"/>
      <c r="M36" s="244"/>
    </row>
    <row r="37" spans="2:13" ht="4" customHeight="1" x14ac:dyDescent="0.35"/>
    <row r="38" spans="2:13" x14ac:dyDescent="0.35">
      <c r="I38" t="s">
        <v>191</v>
      </c>
      <c r="L38" s="154"/>
      <c r="M38" s="156">
        <f>G26</f>
        <v>6.6026200873362445E-2</v>
      </c>
    </row>
    <row r="39" spans="2:13" x14ac:dyDescent="0.35">
      <c r="I39" t="s">
        <v>239</v>
      </c>
      <c r="L39" s="5"/>
      <c r="M39" s="5">
        <f>G32</f>
        <v>5.1887796040818245E-2</v>
      </c>
    </row>
    <row r="40" spans="2:13" x14ac:dyDescent="0.35">
      <c r="B40" s="144" t="s">
        <v>208</v>
      </c>
      <c r="L40" s="5"/>
      <c r="M40" s="5"/>
    </row>
    <row r="41" spans="2:13" x14ac:dyDescent="0.35">
      <c r="B41" s="145" t="s">
        <v>209</v>
      </c>
      <c r="I41" t="s">
        <v>192</v>
      </c>
      <c r="M41" s="155">
        <f>M27</f>
        <v>0.12350277678963421</v>
      </c>
    </row>
    <row r="42" spans="2:13" x14ac:dyDescent="0.35">
      <c r="B42" s="145" t="s">
        <v>210</v>
      </c>
      <c r="I42" t="s">
        <v>240</v>
      </c>
      <c r="M42" s="5">
        <f>G33</f>
        <v>0.94811220395918172</v>
      </c>
    </row>
    <row r="43" spans="2:13" ht="15" thickBot="1" x14ac:dyDescent="0.4">
      <c r="B43" s="145" t="s">
        <v>211</v>
      </c>
      <c r="I43" s="157" t="s">
        <v>172</v>
      </c>
      <c r="J43" s="157"/>
      <c r="K43" s="157"/>
      <c r="L43" s="157"/>
      <c r="M43" s="158">
        <f>(M38*M39)+(M41*M42)</f>
        <v>0.1205204439413661</v>
      </c>
    </row>
  </sheetData>
  <mergeCells count="1">
    <mergeCell ref="B2:L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796B-7FA8-40B9-9E5B-4022DDBB94FE}">
  <sheetPr>
    <tabColor rgb="FF002060"/>
  </sheetPr>
  <dimension ref="A1"/>
  <sheetViews>
    <sheetView topLeftCell="A6" workbookViewId="0">
      <selection activeCell="I20" sqref="I20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6FC2-7EC0-4D50-97E3-0C84CCFB9479}">
  <dimension ref="B2:AF112"/>
  <sheetViews>
    <sheetView showGridLines="0" topLeftCell="K1" zoomScale="70" zoomScaleNormal="70" workbookViewId="0">
      <selection activeCell="AF25" sqref="AF25"/>
    </sheetView>
  </sheetViews>
  <sheetFormatPr defaultRowHeight="14.5" x14ac:dyDescent="0.35"/>
  <cols>
    <col min="1" max="1" width="1.81640625" customWidth="1"/>
    <col min="2" max="2" width="10.08984375" bestFit="1" customWidth="1"/>
    <col min="3" max="3" width="11.1796875" bestFit="1" customWidth="1"/>
    <col min="4" max="4" width="16.26953125" customWidth="1"/>
    <col min="5" max="5" width="2.6328125" customWidth="1"/>
    <col min="6" max="6" width="10.08984375" bestFit="1" customWidth="1"/>
    <col min="7" max="7" width="11.26953125" bestFit="1" customWidth="1"/>
    <col min="9" max="9" width="2.6328125" customWidth="1"/>
    <col min="10" max="10" width="10.08984375" bestFit="1" customWidth="1"/>
    <col min="11" max="11" width="11.26953125" bestFit="1" customWidth="1"/>
    <col min="12" max="12" width="10" customWidth="1"/>
    <col min="13" max="13" width="2.6328125" customWidth="1"/>
    <col min="14" max="14" width="10.08984375" bestFit="1" customWidth="1"/>
    <col min="15" max="15" width="11.26953125" bestFit="1" customWidth="1"/>
    <col min="16" max="16" width="13" customWidth="1"/>
    <col min="17" max="17" width="2.6328125" customWidth="1"/>
    <col min="18" max="18" width="10.08984375" bestFit="1" customWidth="1"/>
    <col min="19" max="19" width="11.26953125" bestFit="1" customWidth="1"/>
    <col min="20" max="20" width="15.26953125" customWidth="1"/>
    <col min="21" max="21" width="2.6328125" customWidth="1"/>
    <col min="22" max="22" width="10.08984375" bestFit="1" customWidth="1"/>
    <col min="23" max="23" width="11.26953125" bestFit="1" customWidth="1"/>
    <col min="24" max="24" width="15.453125" customWidth="1"/>
    <col min="25" max="25" width="2.6328125" customWidth="1"/>
    <col min="26" max="26" width="11.54296875" customWidth="1"/>
    <col min="27" max="27" width="11.26953125" bestFit="1" customWidth="1"/>
    <col min="32" max="32" width="15.90625" customWidth="1"/>
    <col min="33" max="33" width="9.36328125" bestFit="1" customWidth="1"/>
  </cols>
  <sheetData>
    <row r="2" spans="2:32" ht="14.5" customHeight="1" x14ac:dyDescent="0.35">
      <c r="B2" s="268" t="str">
        <f>"Beta Regression "&amp;'Profit &amp; Loss'!A1&amp;" &amp; Peer Comps"</f>
        <v>Beta Regression ASIAN PAINTS LTD &amp; Peer Comps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160"/>
      <c r="AC2" s="160"/>
      <c r="AD2" s="160"/>
      <c r="AE2" s="160"/>
      <c r="AF2" s="160"/>
    </row>
    <row r="3" spans="2:32" ht="14.5" customHeight="1" x14ac:dyDescent="0.35"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160"/>
      <c r="AC3" s="160"/>
      <c r="AD3" s="160"/>
      <c r="AE3" s="160"/>
      <c r="AF3" s="160"/>
    </row>
    <row r="5" spans="2:32" x14ac:dyDescent="0.35">
      <c r="B5" s="269" t="str">
        <f>'Profit &amp; Loss'!A1 &amp;" 2 Year Weekly Returns"</f>
        <v>ASIAN PAINTS LTD 2 Year Weekly Returns</v>
      </c>
      <c r="C5" s="269"/>
      <c r="D5" s="269"/>
      <c r="F5" s="269" t="s">
        <v>217</v>
      </c>
      <c r="G5" s="269"/>
      <c r="H5" s="269"/>
      <c r="J5" s="269" t="s">
        <v>218</v>
      </c>
      <c r="K5" s="269"/>
      <c r="L5" s="269"/>
      <c r="N5" s="269" t="s">
        <v>220</v>
      </c>
      <c r="O5" s="269"/>
      <c r="P5" s="269"/>
      <c r="R5" s="269" t="s">
        <v>221</v>
      </c>
      <c r="S5" s="269"/>
      <c r="T5" s="269"/>
      <c r="V5" s="269" t="s">
        <v>222</v>
      </c>
      <c r="W5" s="269"/>
      <c r="X5" s="269"/>
      <c r="Z5" s="269" t="s">
        <v>216</v>
      </c>
      <c r="AA5" s="269"/>
      <c r="AB5" s="269"/>
      <c r="AD5" s="269" t="s">
        <v>223</v>
      </c>
      <c r="AE5" s="269"/>
      <c r="AF5" s="269"/>
    </row>
    <row r="7" spans="2:32" x14ac:dyDescent="0.35">
      <c r="B7" s="21" t="s">
        <v>212</v>
      </c>
      <c r="C7" s="159" t="s">
        <v>213</v>
      </c>
      <c r="D7" s="159" t="s">
        <v>214</v>
      </c>
      <c r="F7" s="21" t="s">
        <v>212</v>
      </c>
      <c r="G7" s="159" t="s">
        <v>213</v>
      </c>
      <c r="H7" s="159" t="s">
        <v>214</v>
      </c>
      <c r="J7" s="21" t="s">
        <v>212</v>
      </c>
      <c r="K7" s="159" t="s">
        <v>213</v>
      </c>
      <c r="L7" s="159" t="s">
        <v>214</v>
      </c>
      <c r="N7" s="21" t="s">
        <v>212</v>
      </c>
      <c r="O7" s="159" t="s">
        <v>213</v>
      </c>
      <c r="P7" s="159" t="s">
        <v>214</v>
      </c>
      <c r="R7" s="21" t="s">
        <v>212</v>
      </c>
      <c r="S7" s="159" t="s">
        <v>213</v>
      </c>
      <c r="T7" s="159" t="s">
        <v>214</v>
      </c>
      <c r="V7" s="21" t="s">
        <v>212</v>
      </c>
      <c r="W7" s="159" t="s">
        <v>213</v>
      </c>
      <c r="X7" s="159" t="s">
        <v>214</v>
      </c>
      <c r="Z7" s="21" t="s">
        <v>212</v>
      </c>
      <c r="AA7" s="159" t="s">
        <v>213</v>
      </c>
      <c r="AB7" s="159" t="s">
        <v>214</v>
      </c>
      <c r="AD7" s="21" t="s">
        <v>225</v>
      </c>
      <c r="AE7" s="21"/>
      <c r="AF7" s="21" t="s">
        <v>215</v>
      </c>
    </row>
    <row r="8" spans="2:32" x14ac:dyDescent="0.35">
      <c r="B8" s="148">
        <v>45179</v>
      </c>
      <c r="C8" s="146">
        <v>3196.65</v>
      </c>
      <c r="F8" s="148">
        <v>45179</v>
      </c>
      <c r="G8">
        <v>599.71</v>
      </c>
      <c r="J8" s="148">
        <v>45179</v>
      </c>
      <c r="K8" s="146">
        <v>1535.15</v>
      </c>
      <c r="N8" s="148">
        <v>45179</v>
      </c>
      <c r="O8">
        <v>400.5</v>
      </c>
      <c r="R8" s="148">
        <v>45179</v>
      </c>
      <c r="S8">
        <v>157.9</v>
      </c>
      <c r="V8" s="148">
        <v>45179</v>
      </c>
      <c r="W8">
        <v>325.20999999999998</v>
      </c>
      <c r="Z8" s="148">
        <v>45179</v>
      </c>
      <c r="AA8" s="146">
        <v>20192.349999999999</v>
      </c>
      <c r="AD8" t="s">
        <v>224</v>
      </c>
      <c r="AF8" s="146">
        <f>SLOPE(D$9:D$111,$AB$9:$AB$111)</f>
        <v>0.81569883128557186</v>
      </c>
    </row>
    <row r="9" spans="2:32" x14ac:dyDescent="0.35">
      <c r="B9" s="148">
        <f>B8+7</f>
        <v>45186</v>
      </c>
      <c r="C9" s="146">
        <v>3274.85</v>
      </c>
      <c r="D9" s="128">
        <f>C9/C8-1</f>
        <v>2.4463109818090745E-2</v>
      </c>
      <c r="F9" s="148">
        <f>F8+7</f>
        <v>45186</v>
      </c>
      <c r="G9">
        <v>667.8</v>
      </c>
      <c r="H9" s="128">
        <f>G9/G8-1</f>
        <v>0.11353821013489829</v>
      </c>
      <c r="J9" s="148">
        <f>J8+7</f>
        <v>45186</v>
      </c>
      <c r="K9" s="146">
        <v>1549.15</v>
      </c>
      <c r="L9" s="128">
        <f t="shared" ref="L9:L72" si="0">K9/K8-1</f>
        <v>9.1196300035827349E-3</v>
      </c>
      <c r="N9" s="148">
        <f>N8+7</f>
        <v>45186</v>
      </c>
      <c r="O9">
        <v>390.1</v>
      </c>
      <c r="P9" s="128">
        <f t="shared" ref="P9:P72" si="1">O9/O8-1</f>
        <v>-2.5967540574282078E-2</v>
      </c>
      <c r="R9" s="148">
        <f>R8+7</f>
        <v>45186</v>
      </c>
      <c r="S9">
        <v>153.25</v>
      </c>
      <c r="T9" s="128">
        <f t="shared" ref="T9:T72" si="2">S9/S8-1</f>
        <v>-2.9449018366054514E-2</v>
      </c>
      <c r="V9" s="148">
        <f>V8+7</f>
        <v>45186</v>
      </c>
      <c r="W9">
        <v>321.02999999999997</v>
      </c>
      <c r="X9" s="128">
        <f t="shared" ref="X9:X72" si="3">W9/W8-1</f>
        <v>-1.2853233295409106E-2</v>
      </c>
      <c r="Z9" s="148">
        <f>Z8+7</f>
        <v>45186</v>
      </c>
      <c r="AA9" s="146">
        <v>19674.25</v>
      </c>
      <c r="AB9" s="128">
        <f>AA9/AA8-1</f>
        <v>-2.5658231954180599E-2</v>
      </c>
      <c r="AD9" t="str">
        <f>WACC!B13</f>
        <v>Berger Paints</v>
      </c>
      <c r="AF9" s="146">
        <f>SLOPE(H$9:H$111,$AB$9:$AB$111)</f>
        <v>0.84864223749377043</v>
      </c>
    </row>
    <row r="10" spans="2:32" x14ac:dyDescent="0.35">
      <c r="B10" s="148">
        <f t="shared" ref="B10:B73" si="4">B9+7</f>
        <v>45193</v>
      </c>
      <c r="C10" s="146">
        <v>3161.05</v>
      </c>
      <c r="D10" s="128">
        <f t="shared" ref="D10:D73" si="5">C10/C9-1</f>
        <v>-3.4749683191596437E-2</v>
      </c>
      <c r="F10" s="148">
        <f t="shared" ref="F10:F73" si="6">F9+7</f>
        <v>45193</v>
      </c>
      <c r="G10">
        <v>568.9</v>
      </c>
      <c r="H10" s="128">
        <f t="shared" ref="H10:H73" si="7">G10/G9-1</f>
        <v>-0.14809823300389335</v>
      </c>
      <c r="J10" s="148">
        <f t="shared" ref="J10:J73" si="8">J9+7</f>
        <v>45193</v>
      </c>
      <c r="K10" s="146">
        <v>1485.8</v>
      </c>
      <c r="L10" s="128">
        <f t="shared" si="0"/>
        <v>-4.089339315108298E-2</v>
      </c>
      <c r="N10" s="148">
        <f t="shared" ref="N10:N73" si="9">N9+7</f>
        <v>45193</v>
      </c>
      <c r="O10">
        <v>388.65</v>
      </c>
      <c r="P10" s="128">
        <f t="shared" si="1"/>
        <v>-3.7169956421431172E-3</v>
      </c>
      <c r="R10" s="148">
        <f t="shared" ref="R10:R73" si="10">R9+7</f>
        <v>45193</v>
      </c>
      <c r="S10">
        <v>161.30000000000001</v>
      </c>
      <c r="T10" s="128">
        <f t="shared" si="2"/>
        <v>5.2528548123980556E-2</v>
      </c>
      <c r="V10" s="148">
        <f t="shared" ref="V10:V73" si="11">V9+7</f>
        <v>45193</v>
      </c>
      <c r="W10">
        <v>316.05</v>
      </c>
      <c r="X10" s="128">
        <f t="shared" si="3"/>
        <v>-1.5512568918792491E-2</v>
      </c>
      <c r="Z10" s="148">
        <f t="shared" ref="Z10:Z73" si="12">Z9+7</f>
        <v>45193</v>
      </c>
      <c r="AA10" s="146">
        <v>19638.3</v>
      </c>
      <c r="AB10" s="128">
        <f t="shared" ref="AB10:AB73" si="13">AA10/AA9-1</f>
        <v>-1.8272615220402688E-3</v>
      </c>
      <c r="AD10" t="str">
        <f>WACC!B14</f>
        <v>Indigo Paints</v>
      </c>
      <c r="AF10" s="146">
        <f>SLOPE(L$9:L$111,$AB$9:$AB$111)</f>
        <v>0.72419311073960124</v>
      </c>
    </row>
    <row r="11" spans="2:32" x14ac:dyDescent="0.35">
      <c r="B11" s="148">
        <f t="shared" si="4"/>
        <v>45200</v>
      </c>
      <c r="C11" s="146">
        <v>3195.75</v>
      </c>
      <c r="D11" s="128">
        <f t="shared" si="5"/>
        <v>1.0977365116021431E-2</v>
      </c>
      <c r="F11" s="148">
        <f t="shared" si="6"/>
        <v>45200</v>
      </c>
      <c r="G11">
        <v>565.20000000000005</v>
      </c>
      <c r="H11" s="128">
        <f t="shared" si="7"/>
        <v>-6.5037792230618896E-3</v>
      </c>
      <c r="J11" s="148">
        <f t="shared" si="8"/>
        <v>45200</v>
      </c>
      <c r="K11" s="146">
        <v>1506.45</v>
      </c>
      <c r="L11" s="128">
        <f t="shared" si="0"/>
        <v>1.3898236640193851E-2</v>
      </c>
      <c r="N11" s="148">
        <f t="shared" si="9"/>
        <v>45200</v>
      </c>
      <c r="O11">
        <v>387.3</v>
      </c>
      <c r="P11" s="128">
        <f t="shared" si="1"/>
        <v>-3.4735623311461516E-3</v>
      </c>
      <c r="R11" s="148">
        <f t="shared" si="10"/>
        <v>45200</v>
      </c>
      <c r="S11">
        <v>164</v>
      </c>
      <c r="T11" s="128">
        <f t="shared" si="2"/>
        <v>1.6738995660260381E-2</v>
      </c>
      <c r="V11" s="148">
        <f t="shared" si="11"/>
        <v>45200</v>
      </c>
      <c r="W11">
        <v>322.37</v>
      </c>
      <c r="X11" s="128">
        <f t="shared" si="3"/>
        <v>1.9996835943679736E-2</v>
      </c>
      <c r="Z11" s="148">
        <f t="shared" si="12"/>
        <v>45200</v>
      </c>
      <c r="AA11" s="146">
        <v>19653.5</v>
      </c>
      <c r="AB11" s="128">
        <f t="shared" si="13"/>
        <v>7.7399774929598486E-4</v>
      </c>
      <c r="AD11" t="str">
        <f>WACC!B15</f>
        <v>Sirca Paints</v>
      </c>
      <c r="AF11" s="146">
        <f>SLOPE(P$9:P$111,$AB$9:$AB$111)</f>
        <v>0.90098807790970303</v>
      </c>
    </row>
    <row r="12" spans="2:32" x14ac:dyDescent="0.35">
      <c r="B12" s="148">
        <f t="shared" si="4"/>
        <v>45207</v>
      </c>
      <c r="C12" s="146">
        <v>3148.8</v>
      </c>
      <c r="D12" s="128">
        <f t="shared" si="5"/>
        <v>-1.4691386998357148E-2</v>
      </c>
      <c r="F12" s="148">
        <f t="shared" si="6"/>
        <v>45207</v>
      </c>
      <c r="G12">
        <v>568.1</v>
      </c>
      <c r="H12" s="128">
        <f t="shared" si="7"/>
        <v>5.1309271054493788E-3</v>
      </c>
      <c r="J12" s="148">
        <f t="shared" si="8"/>
        <v>45207</v>
      </c>
      <c r="K12" s="146">
        <v>1455.4</v>
      </c>
      <c r="L12" s="128">
        <f t="shared" si="0"/>
        <v>-3.3887616582030544E-2</v>
      </c>
      <c r="N12" s="148">
        <f t="shared" si="9"/>
        <v>45207</v>
      </c>
      <c r="O12">
        <v>386.65</v>
      </c>
      <c r="P12" s="128">
        <f t="shared" si="1"/>
        <v>-1.6782855667442087E-3</v>
      </c>
      <c r="R12" s="148">
        <f t="shared" si="10"/>
        <v>45207</v>
      </c>
      <c r="S12">
        <v>192.45</v>
      </c>
      <c r="T12" s="128">
        <f t="shared" si="2"/>
        <v>0.17347560975609744</v>
      </c>
      <c r="V12" s="148">
        <f t="shared" si="11"/>
        <v>45207</v>
      </c>
      <c r="W12">
        <v>321.47000000000003</v>
      </c>
      <c r="X12" s="128">
        <f t="shared" si="3"/>
        <v>-2.7918230604584426E-3</v>
      </c>
      <c r="Z12" s="148">
        <f t="shared" si="12"/>
        <v>45207</v>
      </c>
      <c r="AA12" s="146">
        <v>19751.05</v>
      </c>
      <c r="AB12" s="128">
        <f t="shared" si="13"/>
        <v>4.9634925076957881E-3</v>
      </c>
      <c r="AD12" t="str">
        <f>WACC!B16</f>
        <v>Shalimar Paints</v>
      </c>
      <c r="AF12" s="146">
        <f>SLOPE(T$9:T$111,$AB$9:$AB$111)</f>
        <v>0.69537713305008786</v>
      </c>
    </row>
    <row r="13" spans="2:32" x14ac:dyDescent="0.35">
      <c r="B13" s="148">
        <f t="shared" si="4"/>
        <v>45214</v>
      </c>
      <c r="C13" s="146">
        <v>3105.85</v>
      </c>
      <c r="D13" s="128">
        <f t="shared" si="5"/>
        <v>-1.3640116869918839E-2</v>
      </c>
      <c r="F13" s="148">
        <f t="shared" si="6"/>
        <v>45214</v>
      </c>
      <c r="G13">
        <v>584.20000000000005</v>
      </c>
      <c r="H13" s="128">
        <f t="shared" si="7"/>
        <v>2.8340080971659853E-2</v>
      </c>
      <c r="J13" s="148">
        <f t="shared" si="8"/>
        <v>45214</v>
      </c>
      <c r="K13" s="146">
        <v>1458.6</v>
      </c>
      <c r="L13" s="128">
        <f t="shared" si="0"/>
        <v>2.1987082588976747E-3</v>
      </c>
      <c r="N13" s="148">
        <f t="shared" si="9"/>
        <v>45214</v>
      </c>
      <c r="O13">
        <v>371.15</v>
      </c>
      <c r="P13" s="128">
        <f t="shared" si="1"/>
        <v>-4.0087934824776905E-2</v>
      </c>
      <c r="R13" s="148">
        <f t="shared" si="10"/>
        <v>45214</v>
      </c>
      <c r="S13">
        <v>186.15</v>
      </c>
      <c r="T13" s="128">
        <f t="shared" si="2"/>
        <v>-3.2735775526110622E-2</v>
      </c>
      <c r="V13" s="148">
        <f t="shared" si="11"/>
        <v>45214</v>
      </c>
      <c r="W13">
        <v>319.83</v>
      </c>
      <c r="X13" s="128">
        <f t="shared" si="3"/>
        <v>-5.1015646872182296E-3</v>
      </c>
      <c r="Z13" s="148">
        <f t="shared" si="12"/>
        <v>45214</v>
      </c>
      <c r="AA13" s="146">
        <v>19542.650000000001</v>
      </c>
      <c r="AB13" s="128">
        <f t="shared" si="13"/>
        <v>-1.0551337776978809E-2</v>
      </c>
      <c r="AD13" t="str">
        <f>WACC!B17</f>
        <v>Kansai Nerolac Paints</v>
      </c>
      <c r="AF13" s="146">
        <f>SLOPE(X$9:X$111,$AB$9:$AB$111)</f>
        <v>0.80537585615485185</v>
      </c>
    </row>
    <row r="14" spans="2:32" x14ac:dyDescent="0.35">
      <c r="B14" s="148">
        <f t="shared" si="4"/>
        <v>45221</v>
      </c>
      <c r="C14" s="146">
        <v>2955.15</v>
      </c>
      <c r="D14" s="128">
        <f t="shared" si="5"/>
        <v>-4.8521338763945376E-2</v>
      </c>
      <c r="F14" s="148">
        <f t="shared" si="6"/>
        <v>45221</v>
      </c>
      <c r="G14">
        <v>535.35</v>
      </c>
      <c r="H14" s="128">
        <f t="shared" si="7"/>
        <v>-8.3618623758986654E-2</v>
      </c>
      <c r="J14" s="148">
        <f t="shared" si="8"/>
        <v>45221</v>
      </c>
      <c r="K14" s="146">
        <v>1411.8</v>
      </c>
      <c r="L14" s="128">
        <f t="shared" si="0"/>
        <v>-3.208556149732622E-2</v>
      </c>
      <c r="N14" s="148">
        <f t="shared" si="9"/>
        <v>45221</v>
      </c>
      <c r="O14">
        <v>368.3</v>
      </c>
      <c r="P14" s="128">
        <f t="shared" si="1"/>
        <v>-7.6788360501144348E-3</v>
      </c>
      <c r="R14" s="148">
        <f t="shared" si="10"/>
        <v>45221</v>
      </c>
      <c r="S14">
        <v>184.75</v>
      </c>
      <c r="T14" s="128">
        <f t="shared" si="2"/>
        <v>-7.5208165457963938E-3</v>
      </c>
      <c r="V14" s="148">
        <f t="shared" si="11"/>
        <v>45221</v>
      </c>
      <c r="W14">
        <v>312.17</v>
      </c>
      <c r="X14" s="128">
        <f t="shared" si="3"/>
        <v>-2.3950223556264194E-2</v>
      </c>
      <c r="Z14" s="148">
        <f t="shared" si="12"/>
        <v>45221</v>
      </c>
      <c r="AA14" s="146">
        <v>19047.25</v>
      </c>
      <c r="AB14" s="128">
        <f t="shared" si="13"/>
        <v>-2.5349683896503383E-2</v>
      </c>
      <c r="AF14" s="146"/>
    </row>
    <row r="15" spans="2:32" x14ac:dyDescent="0.35">
      <c r="B15" s="148">
        <f t="shared" si="4"/>
        <v>45228</v>
      </c>
      <c r="C15" s="146">
        <v>2977.85</v>
      </c>
      <c r="D15" s="128">
        <f t="shared" si="5"/>
        <v>7.681505168942282E-3</v>
      </c>
      <c r="F15" s="148">
        <f t="shared" si="6"/>
        <v>45228</v>
      </c>
      <c r="G15">
        <v>553.25</v>
      </c>
      <c r="H15" s="128">
        <f t="shared" si="7"/>
        <v>3.3436069860838691E-2</v>
      </c>
      <c r="J15" s="148">
        <f t="shared" si="8"/>
        <v>45228</v>
      </c>
      <c r="K15" s="146">
        <v>1464.1</v>
      </c>
      <c r="L15" s="128">
        <f t="shared" si="0"/>
        <v>3.7044907210653122E-2</v>
      </c>
      <c r="N15" s="148">
        <f t="shared" si="9"/>
        <v>45228</v>
      </c>
      <c r="O15">
        <v>369</v>
      </c>
      <c r="P15" s="128">
        <f t="shared" si="1"/>
        <v>1.9006244909041126E-3</v>
      </c>
      <c r="R15" s="148">
        <f t="shared" si="10"/>
        <v>45228</v>
      </c>
      <c r="S15">
        <v>180.45</v>
      </c>
      <c r="T15" s="128">
        <f t="shared" si="2"/>
        <v>-2.3274695534506118E-2</v>
      </c>
      <c r="V15" s="148">
        <f t="shared" si="11"/>
        <v>45228</v>
      </c>
      <c r="W15">
        <v>303.64999999999998</v>
      </c>
      <c r="X15" s="128">
        <f t="shared" si="3"/>
        <v>-2.7292821219207619E-2</v>
      </c>
      <c r="Z15" s="148">
        <f t="shared" si="12"/>
        <v>45228</v>
      </c>
      <c r="AA15" s="146">
        <v>19230.599999999999</v>
      </c>
      <c r="AB15" s="128">
        <f t="shared" si="13"/>
        <v>9.6260615049414966E-3</v>
      </c>
      <c r="AD15" s="201" t="s">
        <v>371</v>
      </c>
      <c r="AE15" s="201"/>
      <c r="AF15" s="240">
        <f>MEDIAN(AF9:AF13)</f>
        <v>0.80537585615485185</v>
      </c>
    </row>
    <row r="16" spans="2:32" x14ac:dyDescent="0.35">
      <c r="B16" s="148">
        <f t="shared" si="4"/>
        <v>45235</v>
      </c>
      <c r="C16" s="146">
        <v>3076.45</v>
      </c>
      <c r="D16" s="128">
        <f t="shared" si="5"/>
        <v>3.3111137229880683E-2</v>
      </c>
      <c r="F16" s="148">
        <f t="shared" si="6"/>
        <v>45235</v>
      </c>
      <c r="G16">
        <v>578.25</v>
      </c>
      <c r="H16" s="128">
        <f t="shared" si="7"/>
        <v>4.5187528242205177E-2</v>
      </c>
      <c r="J16" s="148">
        <f t="shared" si="8"/>
        <v>45235</v>
      </c>
      <c r="K16" s="146">
        <v>1502.95</v>
      </c>
      <c r="L16" s="128">
        <f t="shared" si="0"/>
        <v>2.653507274093303E-2</v>
      </c>
      <c r="N16" s="148">
        <f t="shared" si="9"/>
        <v>45235</v>
      </c>
      <c r="O16">
        <v>375.55</v>
      </c>
      <c r="P16" s="128">
        <f t="shared" si="1"/>
        <v>1.7750677506775059E-2</v>
      </c>
      <c r="R16" s="148">
        <f t="shared" si="10"/>
        <v>45235</v>
      </c>
      <c r="S16">
        <v>173.4</v>
      </c>
      <c r="T16" s="128">
        <f t="shared" si="2"/>
        <v>-3.9068994181213568E-2</v>
      </c>
      <c r="V16" s="148">
        <f t="shared" si="11"/>
        <v>45235</v>
      </c>
      <c r="W16">
        <v>303.05</v>
      </c>
      <c r="X16" s="128">
        <f t="shared" si="3"/>
        <v>-1.9759591635104545E-3</v>
      </c>
      <c r="Z16" s="148">
        <f t="shared" si="12"/>
        <v>45235</v>
      </c>
      <c r="AA16" s="146">
        <v>19425.349999999999</v>
      </c>
      <c r="AB16" s="128">
        <f t="shared" si="13"/>
        <v>1.0127089118384225E-2</v>
      </c>
      <c r="AF16" s="146"/>
    </row>
    <row r="17" spans="2:32" x14ac:dyDescent="0.35">
      <c r="B17" s="148">
        <f t="shared" si="4"/>
        <v>45242</v>
      </c>
      <c r="C17" s="146">
        <v>3168.9</v>
      </c>
      <c r="D17" s="128">
        <f t="shared" si="5"/>
        <v>3.005087032131204E-2</v>
      </c>
      <c r="F17" s="148">
        <f t="shared" si="6"/>
        <v>45242</v>
      </c>
      <c r="G17">
        <v>587.79999999999995</v>
      </c>
      <c r="H17" s="128">
        <f t="shared" si="7"/>
        <v>1.6515348032857702E-2</v>
      </c>
      <c r="J17" s="148">
        <f t="shared" si="8"/>
        <v>45242</v>
      </c>
      <c r="K17" s="146">
        <v>1539.65</v>
      </c>
      <c r="L17" s="128">
        <f t="shared" si="0"/>
        <v>2.4418643334775059E-2</v>
      </c>
      <c r="N17" s="148">
        <f t="shared" si="9"/>
        <v>45242</v>
      </c>
      <c r="O17">
        <v>380.8</v>
      </c>
      <c r="P17" s="128">
        <f t="shared" si="1"/>
        <v>1.3979496738117492E-2</v>
      </c>
      <c r="R17" s="148">
        <f t="shared" si="10"/>
        <v>45242</v>
      </c>
      <c r="S17">
        <v>178.65</v>
      </c>
      <c r="T17" s="128">
        <f t="shared" si="2"/>
        <v>3.0276816608996615E-2</v>
      </c>
      <c r="V17" s="148">
        <f t="shared" si="11"/>
        <v>45242</v>
      </c>
      <c r="W17">
        <v>323.95999999999998</v>
      </c>
      <c r="X17" s="128">
        <f t="shared" si="3"/>
        <v>6.8998515096518664E-2</v>
      </c>
      <c r="Z17" s="148">
        <f t="shared" si="12"/>
        <v>45242</v>
      </c>
      <c r="AA17" s="146">
        <v>19731.8</v>
      </c>
      <c r="AB17" s="128">
        <f t="shared" si="13"/>
        <v>1.5775777527818002E-2</v>
      </c>
    </row>
    <row r="18" spans="2:32" x14ac:dyDescent="0.35">
      <c r="B18" s="148">
        <f t="shared" si="4"/>
        <v>45249</v>
      </c>
      <c r="C18" s="146">
        <v>3136.15</v>
      </c>
      <c r="D18" s="128">
        <f t="shared" si="5"/>
        <v>-1.0334816497838406E-2</v>
      </c>
      <c r="F18" s="148">
        <f t="shared" si="6"/>
        <v>45249</v>
      </c>
      <c r="G18">
        <v>573.20000000000005</v>
      </c>
      <c r="H18" s="128">
        <f t="shared" si="7"/>
        <v>-2.4838380401496996E-2</v>
      </c>
      <c r="J18" s="148">
        <f t="shared" si="8"/>
        <v>45249</v>
      </c>
      <c r="K18" s="146">
        <v>1482.5</v>
      </c>
      <c r="L18" s="128">
        <f t="shared" si="0"/>
        <v>-3.7118825707141312E-2</v>
      </c>
      <c r="N18" s="148">
        <f t="shared" si="9"/>
        <v>45249</v>
      </c>
      <c r="O18">
        <v>370.1</v>
      </c>
      <c r="P18" s="128">
        <f t="shared" si="1"/>
        <v>-2.8098739495798331E-2</v>
      </c>
      <c r="R18" s="148">
        <f t="shared" si="10"/>
        <v>45249</v>
      </c>
      <c r="S18">
        <v>170.25</v>
      </c>
      <c r="T18" s="128">
        <f t="shared" si="2"/>
        <v>-4.7019311502938699E-2</v>
      </c>
      <c r="V18" s="148">
        <f t="shared" si="11"/>
        <v>45249</v>
      </c>
      <c r="W18">
        <v>318.93</v>
      </c>
      <c r="X18" s="128">
        <f t="shared" si="3"/>
        <v>-1.552660822323737E-2</v>
      </c>
      <c r="Z18" s="148">
        <f t="shared" si="12"/>
        <v>45249</v>
      </c>
      <c r="AA18" s="146">
        <v>19794.7</v>
      </c>
      <c r="AB18" s="128">
        <f t="shared" si="13"/>
        <v>3.1877476966115648E-3</v>
      </c>
      <c r="AD18" s="21" t="s">
        <v>226</v>
      </c>
      <c r="AE18" s="21"/>
      <c r="AF18" s="21"/>
    </row>
    <row r="19" spans="2:32" x14ac:dyDescent="0.35">
      <c r="B19" s="148">
        <f t="shared" si="4"/>
        <v>45256</v>
      </c>
      <c r="C19" s="146">
        <v>3173.4</v>
      </c>
      <c r="D19" s="128">
        <f t="shared" si="5"/>
        <v>1.187762064952258E-2</v>
      </c>
      <c r="F19" s="148">
        <f t="shared" si="6"/>
        <v>45256</v>
      </c>
      <c r="G19">
        <v>586.04999999999995</v>
      </c>
      <c r="H19" s="128">
        <f t="shared" si="7"/>
        <v>2.2418004187020113E-2</v>
      </c>
      <c r="J19" s="148">
        <f t="shared" si="8"/>
        <v>45256</v>
      </c>
      <c r="K19" s="146">
        <v>1497.75</v>
      </c>
      <c r="L19" s="128">
        <f t="shared" si="0"/>
        <v>1.0286677908937669E-2</v>
      </c>
      <c r="N19" s="148">
        <f t="shared" si="9"/>
        <v>45256</v>
      </c>
      <c r="O19">
        <v>382.65</v>
      </c>
      <c r="P19" s="128">
        <f t="shared" si="1"/>
        <v>3.3909754120507785E-2</v>
      </c>
      <c r="R19" s="148">
        <f t="shared" si="10"/>
        <v>45256</v>
      </c>
      <c r="S19">
        <v>198.7</v>
      </c>
      <c r="T19" s="128">
        <f t="shared" si="2"/>
        <v>0.16710719530102791</v>
      </c>
      <c r="V19" s="148">
        <f t="shared" si="11"/>
        <v>45256</v>
      </c>
      <c r="W19">
        <v>318.64</v>
      </c>
      <c r="X19" s="128">
        <f t="shared" si="3"/>
        <v>-9.0929043990850555E-4</v>
      </c>
      <c r="Z19" s="148">
        <f t="shared" si="12"/>
        <v>45256</v>
      </c>
      <c r="AA19" s="146">
        <v>20267.900000000001</v>
      </c>
      <c r="AB19" s="128">
        <f t="shared" si="13"/>
        <v>2.3905388816198414E-2</v>
      </c>
      <c r="AD19" t="s">
        <v>227</v>
      </c>
      <c r="AF19" s="146">
        <f>AF8</f>
        <v>0.81569883128557186</v>
      </c>
    </row>
    <row r="20" spans="2:32" x14ac:dyDescent="0.35">
      <c r="B20" s="148">
        <f t="shared" si="4"/>
        <v>45263</v>
      </c>
      <c r="C20" s="146">
        <v>3232</v>
      </c>
      <c r="D20" s="128">
        <f t="shared" si="5"/>
        <v>1.8465998613474532E-2</v>
      </c>
      <c r="F20" s="148">
        <f t="shared" si="6"/>
        <v>45263</v>
      </c>
      <c r="G20">
        <v>578.75</v>
      </c>
      <c r="H20" s="128">
        <f t="shared" si="7"/>
        <v>-1.245627506185476E-2</v>
      </c>
      <c r="J20" s="148">
        <f t="shared" si="8"/>
        <v>45263</v>
      </c>
      <c r="K20" s="146">
        <v>1489</v>
      </c>
      <c r="L20" s="128">
        <f t="shared" si="0"/>
        <v>-5.8420964780504514E-3</v>
      </c>
      <c r="N20" s="148">
        <f t="shared" si="9"/>
        <v>45263</v>
      </c>
      <c r="O20">
        <v>392.2</v>
      </c>
      <c r="P20" s="128">
        <f t="shared" si="1"/>
        <v>2.4957532993597376E-2</v>
      </c>
      <c r="R20" s="148">
        <f t="shared" si="10"/>
        <v>45263</v>
      </c>
      <c r="S20">
        <v>181.8</v>
      </c>
      <c r="T20" s="128">
        <f t="shared" si="2"/>
        <v>-8.5052843482637086E-2</v>
      </c>
      <c r="V20" s="148">
        <f t="shared" si="11"/>
        <v>45263</v>
      </c>
      <c r="W20">
        <v>328.89</v>
      </c>
      <c r="X20" s="128">
        <f t="shared" si="3"/>
        <v>3.2167963846347014E-2</v>
      </c>
      <c r="Z20" s="148">
        <f t="shared" si="12"/>
        <v>45263</v>
      </c>
      <c r="AA20" s="146">
        <v>20969.400000000001</v>
      </c>
      <c r="AB20" s="128">
        <f t="shared" si="13"/>
        <v>3.4611380557433069E-2</v>
      </c>
      <c r="AD20" t="s">
        <v>228</v>
      </c>
      <c r="AF20" s="149">
        <v>0.75</v>
      </c>
    </row>
    <row r="21" spans="2:32" x14ac:dyDescent="0.35">
      <c r="B21" s="148">
        <f t="shared" si="4"/>
        <v>45270</v>
      </c>
      <c r="C21" s="146">
        <v>3313.9</v>
      </c>
      <c r="D21" s="128">
        <f t="shared" si="5"/>
        <v>2.5340346534653557E-2</v>
      </c>
      <c r="F21" s="148">
        <f t="shared" si="6"/>
        <v>45270</v>
      </c>
      <c r="G21">
        <v>585.35</v>
      </c>
      <c r="H21" s="128">
        <f t="shared" si="7"/>
        <v>1.1403887688984815E-2</v>
      </c>
      <c r="J21" s="148">
        <f t="shared" si="8"/>
        <v>45270</v>
      </c>
      <c r="K21" s="146">
        <v>1478.9</v>
      </c>
      <c r="L21" s="128">
        <f t="shared" si="0"/>
        <v>-6.7830758898589361E-3</v>
      </c>
      <c r="N21" s="148">
        <f t="shared" si="9"/>
        <v>45270</v>
      </c>
      <c r="O21">
        <v>390.4</v>
      </c>
      <c r="P21" s="128">
        <f t="shared" si="1"/>
        <v>-4.5894951555329744E-3</v>
      </c>
      <c r="R21" s="148">
        <f t="shared" si="10"/>
        <v>45270</v>
      </c>
      <c r="S21">
        <v>181.9</v>
      </c>
      <c r="T21" s="128">
        <f t="shared" si="2"/>
        <v>5.5005500550042719E-4</v>
      </c>
      <c r="V21" s="148">
        <f t="shared" si="11"/>
        <v>45270</v>
      </c>
      <c r="W21">
        <v>331.43</v>
      </c>
      <c r="X21" s="128">
        <f t="shared" si="3"/>
        <v>7.722946881936199E-3</v>
      </c>
      <c r="Z21" s="148">
        <f t="shared" si="12"/>
        <v>45270</v>
      </c>
      <c r="AA21" s="146">
        <v>21456.65</v>
      </c>
      <c r="AB21" s="128">
        <f t="shared" si="13"/>
        <v>2.3236239472755438E-2</v>
      </c>
    </row>
    <row r="22" spans="2:32" x14ac:dyDescent="0.35">
      <c r="B22" s="148">
        <f t="shared" si="4"/>
        <v>45277</v>
      </c>
      <c r="C22" s="146">
        <v>3341.3</v>
      </c>
      <c r="D22" s="128">
        <f t="shared" si="5"/>
        <v>8.2682036271461978E-3</v>
      </c>
      <c r="F22" s="148">
        <f t="shared" si="6"/>
        <v>45277</v>
      </c>
      <c r="G22">
        <v>582.54999999999995</v>
      </c>
      <c r="H22" s="128">
        <f t="shared" si="7"/>
        <v>-4.7834628854532824E-3</v>
      </c>
      <c r="J22" s="148">
        <f t="shared" si="8"/>
        <v>45277</v>
      </c>
      <c r="K22" s="146">
        <v>1465.6</v>
      </c>
      <c r="L22" s="128">
        <f t="shared" si="0"/>
        <v>-8.9931705997702283E-3</v>
      </c>
      <c r="N22" s="148">
        <f t="shared" si="9"/>
        <v>45277</v>
      </c>
      <c r="O22">
        <v>399.35</v>
      </c>
      <c r="P22" s="128">
        <f t="shared" si="1"/>
        <v>2.2925204918032849E-2</v>
      </c>
      <c r="R22" s="148">
        <f t="shared" si="10"/>
        <v>45277</v>
      </c>
      <c r="S22">
        <v>181.4</v>
      </c>
      <c r="T22" s="128">
        <f t="shared" si="2"/>
        <v>-2.7487630566245258E-3</v>
      </c>
      <c r="V22" s="148">
        <f t="shared" si="11"/>
        <v>45277</v>
      </c>
      <c r="W22">
        <v>321.02999999999997</v>
      </c>
      <c r="X22" s="128">
        <f t="shared" si="3"/>
        <v>-3.1379175089762623E-2</v>
      </c>
      <c r="Z22" s="148">
        <f t="shared" si="12"/>
        <v>45277</v>
      </c>
      <c r="AA22" s="146">
        <v>21349.4</v>
      </c>
      <c r="AB22" s="128">
        <f t="shared" si="13"/>
        <v>-4.9984503638732525E-3</v>
      </c>
      <c r="AD22" t="s">
        <v>229</v>
      </c>
      <c r="AF22" s="146">
        <v>1</v>
      </c>
    </row>
    <row r="23" spans="2:32" x14ac:dyDescent="0.35">
      <c r="B23" s="148">
        <f t="shared" si="4"/>
        <v>45284</v>
      </c>
      <c r="C23" s="146">
        <v>3402.4</v>
      </c>
      <c r="D23" s="128">
        <f t="shared" si="5"/>
        <v>1.8286295753149995E-2</v>
      </c>
      <c r="F23" s="148">
        <f t="shared" si="6"/>
        <v>45284</v>
      </c>
      <c r="G23">
        <v>604.45000000000005</v>
      </c>
      <c r="H23" s="128">
        <f t="shared" si="7"/>
        <v>3.7593339627499889E-2</v>
      </c>
      <c r="J23" s="148">
        <f t="shared" si="8"/>
        <v>45284</v>
      </c>
      <c r="K23" s="146">
        <v>1490.5</v>
      </c>
      <c r="L23" s="128">
        <f t="shared" si="0"/>
        <v>1.6989628820960778E-2</v>
      </c>
      <c r="N23" s="148">
        <f t="shared" si="9"/>
        <v>45284</v>
      </c>
      <c r="O23">
        <v>409.85</v>
      </c>
      <c r="P23" s="128">
        <f t="shared" si="1"/>
        <v>2.629272567922869E-2</v>
      </c>
      <c r="R23" s="148">
        <f t="shared" si="10"/>
        <v>45284</v>
      </c>
      <c r="S23">
        <v>177.7</v>
      </c>
      <c r="T23" s="128">
        <f t="shared" si="2"/>
        <v>-2.0396912899669384E-2</v>
      </c>
      <c r="V23" s="148">
        <f t="shared" si="11"/>
        <v>45284</v>
      </c>
      <c r="W23">
        <v>331.78</v>
      </c>
      <c r="X23" s="128">
        <f t="shared" si="3"/>
        <v>3.3485967043578535E-2</v>
      </c>
      <c r="Z23" s="148">
        <f t="shared" si="12"/>
        <v>45284</v>
      </c>
      <c r="AA23" s="146">
        <v>21731.4</v>
      </c>
      <c r="AB23" s="128">
        <f t="shared" si="13"/>
        <v>1.7892774504201459E-2</v>
      </c>
      <c r="AD23" t="s">
        <v>230</v>
      </c>
      <c r="AF23" s="92">
        <f>1-AF20</f>
        <v>0.25</v>
      </c>
    </row>
    <row r="24" spans="2:32" x14ac:dyDescent="0.35">
      <c r="B24" s="148">
        <f t="shared" si="4"/>
        <v>45291</v>
      </c>
      <c r="C24" s="146">
        <v>3355.55</v>
      </c>
      <c r="D24" s="128">
        <f t="shared" si="5"/>
        <v>-1.3769691982130183E-2</v>
      </c>
      <c r="F24" s="148">
        <f t="shared" si="6"/>
        <v>45291</v>
      </c>
      <c r="G24">
        <v>595.9</v>
      </c>
      <c r="H24" s="128">
        <f t="shared" si="7"/>
        <v>-1.4145090578211672E-2</v>
      </c>
      <c r="J24" s="148">
        <f t="shared" si="8"/>
        <v>45291</v>
      </c>
      <c r="K24" s="146">
        <v>1498.75</v>
      </c>
      <c r="L24" s="128">
        <f t="shared" si="0"/>
        <v>5.5350553505535416E-3</v>
      </c>
      <c r="N24" s="148">
        <f t="shared" si="9"/>
        <v>45291</v>
      </c>
      <c r="O24">
        <v>427.8</v>
      </c>
      <c r="P24" s="128">
        <f t="shared" si="1"/>
        <v>4.3796510918628684E-2</v>
      </c>
      <c r="R24" s="148">
        <f t="shared" si="10"/>
        <v>45291</v>
      </c>
      <c r="S24">
        <v>184.2</v>
      </c>
      <c r="T24" s="128">
        <f t="shared" si="2"/>
        <v>3.657850309510402E-2</v>
      </c>
      <c r="V24" s="148">
        <f t="shared" si="11"/>
        <v>45291</v>
      </c>
      <c r="W24">
        <v>335.21</v>
      </c>
      <c r="X24" s="128">
        <f t="shared" si="3"/>
        <v>1.0338175899692548E-2</v>
      </c>
      <c r="Z24" s="148">
        <f t="shared" si="12"/>
        <v>45291</v>
      </c>
      <c r="AA24" s="146">
        <v>21710.799999999999</v>
      </c>
      <c r="AB24" s="128">
        <f t="shared" si="13"/>
        <v>-9.479370864280412E-4</v>
      </c>
    </row>
    <row r="25" spans="2:32" x14ac:dyDescent="0.35">
      <c r="B25" s="148">
        <f t="shared" si="4"/>
        <v>45298</v>
      </c>
      <c r="C25" s="146">
        <v>3277.8</v>
      </c>
      <c r="D25" s="128">
        <f t="shared" si="5"/>
        <v>-2.3170568163192296E-2</v>
      </c>
      <c r="F25" s="148">
        <f t="shared" si="6"/>
        <v>45298</v>
      </c>
      <c r="G25">
        <v>596.1</v>
      </c>
      <c r="H25" s="128">
        <f t="shared" si="7"/>
        <v>3.3562678301746196E-4</v>
      </c>
      <c r="J25" s="148">
        <f t="shared" si="8"/>
        <v>45298</v>
      </c>
      <c r="K25" s="146">
        <v>1484.55</v>
      </c>
      <c r="L25" s="128">
        <f t="shared" si="0"/>
        <v>-9.474562135112663E-3</v>
      </c>
      <c r="N25" s="148">
        <f t="shared" si="9"/>
        <v>45298</v>
      </c>
      <c r="O25">
        <v>424.9</v>
      </c>
      <c r="P25" s="128">
        <f t="shared" si="1"/>
        <v>-6.7788686302011625E-3</v>
      </c>
      <c r="R25" s="148">
        <f t="shared" si="10"/>
        <v>45298</v>
      </c>
      <c r="S25">
        <v>180.55</v>
      </c>
      <c r="T25" s="128">
        <f t="shared" si="2"/>
        <v>-1.9815418023886977E-2</v>
      </c>
      <c r="V25" s="148">
        <f t="shared" si="11"/>
        <v>45298</v>
      </c>
      <c r="W25">
        <v>338.8</v>
      </c>
      <c r="X25" s="128">
        <f t="shared" si="3"/>
        <v>1.0709704364428418E-2</v>
      </c>
      <c r="Z25" s="148">
        <f t="shared" si="12"/>
        <v>45298</v>
      </c>
      <c r="AA25" s="146">
        <v>21894.55</v>
      </c>
      <c r="AB25" s="128">
        <f t="shared" si="13"/>
        <v>8.4635296718684749E-3</v>
      </c>
      <c r="AD25" s="151" t="s">
        <v>231</v>
      </c>
      <c r="AE25" s="151"/>
      <c r="AF25" s="150">
        <f>(AF19*AF20)+(AF22*AF23)</f>
        <v>0.86177412346417892</v>
      </c>
    </row>
    <row r="26" spans="2:32" x14ac:dyDescent="0.35">
      <c r="B26" s="148">
        <f t="shared" si="4"/>
        <v>45305</v>
      </c>
      <c r="C26" s="146">
        <v>3165.85</v>
      </c>
      <c r="D26" s="128">
        <f t="shared" si="5"/>
        <v>-3.4154005735554382E-2</v>
      </c>
      <c r="F26" s="148">
        <f t="shared" si="6"/>
        <v>45305</v>
      </c>
      <c r="G26">
        <v>579.54999999999995</v>
      </c>
      <c r="H26" s="128">
        <f t="shared" si="7"/>
        <v>-2.7763798020466468E-2</v>
      </c>
      <c r="J26" s="148">
        <f t="shared" si="8"/>
        <v>45305</v>
      </c>
      <c r="K26" s="146">
        <v>1469.25</v>
      </c>
      <c r="L26" s="128">
        <f t="shared" si="0"/>
        <v>-1.0306153379812E-2</v>
      </c>
      <c r="N26" s="148">
        <f t="shared" si="9"/>
        <v>45305</v>
      </c>
      <c r="O26">
        <v>409</v>
      </c>
      <c r="P26" s="128">
        <f t="shared" si="1"/>
        <v>-3.7420569545775439E-2</v>
      </c>
      <c r="R26" s="148">
        <f t="shared" si="10"/>
        <v>45305</v>
      </c>
      <c r="S26">
        <v>217.75</v>
      </c>
      <c r="T26" s="128">
        <f t="shared" si="2"/>
        <v>0.20603710883411797</v>
      </c>
      <c r="V26" s="148">
        <f t="shared" si="11"/>
        <v>45305</v>
      </c>
      <c r="W26">
        <v>342.78</v>
      </c>
      <c r="X26" s="128">
        <f t="shared" si="3"/>
        <v>1.1747343565525314E-2</v>
      </c>
      <c r="Z26" s="148">
        <f t="shared" si="12"/>
        <v>45305</v>
      </c>
      <c r="AA26" s="146">
        <v>21622.400000000001</v>
      </c>
      <c r="AB26" s="128">
        <f t="shared" si="13"/>
        <v>-1.2430033958222397E-2</v>
      </c>
    </row>
    <row r="27" spans="2:32" x14ac:dyDescent="0.35">
      <c r="B27" s="148">
        <f t="shared" si="4"/>
        <v>45312</v>
      </c>
      <c r="C27" s="146">
        <v>2949.2</v>
      </c>
      <c r="D27" s="128">
        <f t="shared" si="5"/>
        <v>-6.8433438097193489E-2</v>
      </c>
      <c r="F27" s="148">
        <f t="shared" si="6"/>
        <v>45312</v>
      </c>
      <c r="G27">
        <v>554.1</v>
      </c>
      <c r="H27" s="128">
        <f t="shared" si="7"/>
        <v>-4.3913381071520874E-2</v>
      </c>
      <c r="J27" s="148">
        <f t="shared" si="8"/>
        <v>45312</v>
      </c>
      <c r="K27" s="146">
        <v>1450</v>
      </c>
      <c r="L27" s="128">
        <f t="shared" si="0"/>
        <v>-1.3101922749702233E-2</v>
      </c>
      <c r="N27" s="148">
        <f t="shared" si="9"/>
        <v>45312</v>
      </c>
      <c r="O27">
        <v>387.3</v>
      </c>
      <c r="P27" s="128">
        <f t="shared" si="1"/>
        <v>-5.3056234718826367E-2</v>
      </c>
      <c r="R27" s="148">
        <f t="shared" si="10"/>
        <v>45312</v>
      </c>
      <c r="S27">
        <v>202.35</v>
      </c>
      <c r="T27" s="128">
        <f t="shared" si="2"/>
        <v>-7.0723306544202114E-2</v>
      </c>
      <c r="V27" s="148">
        <f t="shared" si="11"/>
        <v>45312</v>
      </c>
      <c r="W27">
        <v>331.28</v>
      </c>
      <c r="X27" s="128">
        <f t="shared" si="3"/>
        <v>-3.3549215240095687E-2</v>
      </c>
      <c r="Z27" s="148">
        <f t="shared" si="12"/>
        <v>45312</v>
      </c>
      <c r="AA27" s="146">
        <v>21352.6</v>
      </c>
      <c r="AB27" s="128">
        <f t="shared" si="13"/>
        <v>-1.2477800799171379E-2</v>
      </c>
    </row>
    <row r="28" spans="2:32" x14ac:dyDescent="0.35">
      <c r="B28" s="148">
        <f t="shared" si="4"/>
        <v>45319</v>
      </c>
      <c r="C28" s="146">
        <v>2936.3</v>
      </c>
      <c r="D28" s="128">
        <f t="shared" si="5"/>
        <v>-4.3740675437405896E-3</v>
      </c>
      <c r="F28" s="148">
        <f t="shared" si="6"/>
        <v>45319</v>
      </c>
      <c r="G28">
        <v>569.85</v>
      </c>
      <c r="H28" s="128">
        <f t="shared" si="7"/>
        <v>2.8424472116946431E-2</v>
      </c>
      <c r="J28" s="148">
        <f t="shared" si="8"/>
        <v>45319</v>
      </c>
      <c r="K28" s="146">
        <v>1418.9</v>
      </c>
      <c r="L28" s="128">
        <f t="shared" si="0"/>
        <v>-2.1448275862068877E-2</v>
      </c>
      <c r="N28" s="148">
        <f t="shared" si="9"/>
        <v>45319</v>
      </c>
      <c r="O28">
        <v>377.85</v>
      </c>
      <c r="P28" s="128">
        <f t="shared" si="1"/>
        <v>-2.4399690162664522E-2</v>
      </c>
      <c r="R28" s="148">
        <f t="shared" si="10"/>
        <v>45319</v>
      </c>
      <c r="S28">
        <v>194</v>
      </c>
      <c r="T28" s="128">
        <f t="shared" si="2"/>
        <v>-4.1265134667655023E-2</v>
      </c>
      <c r="V28" s="148">
        <f t="shared" si="11"/>
        <v>45319</v>
      </c>
      <c r="W28">
        <v>339</v>
      </c>
      <c r="X28" s="128">
        <f t="shared" si="3"/>
        <v>2.3303549867181861E-2</v>
      </c>
      <c r="Z28" s="148">
        <f t="shared" si="12"/>
        <v>45319</v>
      </c>
      <c r="AA28" s="146">
        <v>21853.8</v>
      </c>
      <c r="AB28" s="128">
        <f t="shared" si="13"/>
        <v>2.3472551352060167E-2</v>
      </c>
    </row>
    <row r="29" spans="2:32" x14ac:dyDescent="0.35">
      <c r="B29" s="148">
        <f t="shared" si="4"/>
        <v>45326</v>
      </c>
      <c r="C29" s="146">
        <v>2951.65</v>
      </c>
      <c r="D29" s="128">
        <f t="shared" si="5"/>
        <v>5.2276674726696726E-3</v>
      </c>
      <c r="F29" s="148">
        <f t="shared" si="6"/>
        <v>45326</v>
      </c>
      <c r="G29">
        <v>554.04999999999995</v>
      </c>
      <c r="H29" s="128">
        <f t="shared" si="7"/>
        <v>-2.7726594717908393E-2</v>
      </c>
      <c r="J29" s="148">
        <f t="shared" si="8"/>
        <v>45326</v>
      </c>
      <c r="K29" s="146">
        <v>1423.3</v>
      </c>
      <c r="L29" s="128">
        <f t="shared" si="0"/>
        <v>3.1009937275352506E-3</v>
      </c>
      <c r="N29" s="148">
        <f t="shared" si="9"/>
        <v>45326</v>
      </c>
      <c r="O29">
        <v>376.7</v>
      </c>
      <c r="P29" s="128">
        <f t="shared" si="1"/>
        <v>-3.0435357946275721E-3</v>
      </c>
      <c r="R29" s="148">
        <f t="shared" si="10"/>
        <v>45326</v>
      </c>
      <c r="S29">
        <v>199.95</v>
      </c>
      <c r="T29" s="128">
        <f t="shared" si="2"/>
        <v>3.0670103092783396E-2</v>
      </c>
      <c r="V29" s="148">
        <f t="shared" si="11"/>
        <v>45326</v>
      </c>
      <c r="W29">
        <v>315.35000000000002</v>
      </c>
      <c r="X29" s="128">
        <f t="shared" si="3"/>
        <v>-6.9764011799409942E-2</v>
      </c>
      <c r="Z29" s="148">
        <f t="shared" si="12"/>
        <v>45326</v>
      </c>
      <c r="AA29" s="146">
        <v>21782.5</v>
      </c>
      <c r="AB29" s="128">
        <f t="shared" si="13"/>
        <v>-3.2625904876955047E-3</v>
      </c>
    </row>
    <row r="30" spans="2:32" x14ac:dyDescent="0.35">
      <c r="B30" s="148">
        <f t="shared" si="4"/>
        <v>45333</v>
      </c>
      <c r="C30" s="146">
        <v>3007.9</v>
      </c>
      <c r="D30" s="128">
        <f t="shared" si="5"/>
        <v>1.9057137533244006E-2</v>
      </c>
      <c r="F30" s="148">
        <f t="shared" si="6"/>
        <v>45333</v>
      </c>
      <c r="G30">
        <v>562.70000000000005</v>
      </c>
      <c r="H30" s="128">
        <f t="shared" si="7"/>
        <v>1.5612309358361331E-2</v>
      </c>
      <c r="J30" s="148">
        <f t="shared" si="8"/>
        <v>45333</v>
      </c>
      <c r="K30" s="146">
        <v>1494.7</v>
      </c>
      <c r="L30" s="128">
        <f t="shared" si="0"/>
        <v>5.0165109253144102E-2</v>
      </c>
      <c r="N30" s="148">
        <f t="shared" si="9"/>
        <v>45333</v>
      </c>
      <c r="O30">
        <v>369.25</v>
      </c>
      <c r="P30" s="128">
        <f t="shared" si="1"/>
        <v>-1.977701088399253E-2</v>
      </c>
      <c r="R30" s="148">
        <f t="shared" si="10"/>
        <v>45333</v>
      </c>
      <c r="S30">
        <v>196.5</v>
      </c>
      <c r="T30" s="128">
        <f t="shared" si="2"/>
        <v>-1.7254313578394576E-2</v>
      </c>
      <c r="V30" s="148">
        <f t="shared" si="11"/>
        <v>45333</v>
      </c>
      <c r="W30">
        <v>303.05</v>
      </c>
      <c r="X30" s="128">
        <f t="shared" si="3"/>
        <v>-3.9004280957666171E-2</v>
      </c>
      <c r="Z30" s="148">
        <f t="shared" si="12"/>
        <v>45333</v>
      </c>
      <c r="AA30" s="146">
        <v>22040.7</v>
      </c>
      <c r="AB30" s="128">
        <f t="shared" si="13"/>
        <v>1.1853552163433978E-2</v>
      </c>
    </row>
    <row r="31" spans="2:32" x14ac:dyDescent="0.35">
      <c r="B31" s="148">
        <f t="shared" si="4"/>
        <v>45340</v>
      </c>
      <c r="C31" s="146">
        <v>2985.95</v>
      </c>
      <c r="D31" s="128">
        <f t="shared" si="5"/>
        <v>-7.2974500482064775E-3</v>
      </c>
      <c r="F31" s="148">
        <f t="shared" si="6"/>
        <v>45340</v>
      </c>
      <c r="G31">
        <v>571.79999999999995</v>
      </c>
      <c r="H31" s="128">
        <f t="shared" si="7"/>
        <v>1.6172027723476035E-2</v>
      </c>
      <c r="J31" s="148">
        <f t="shared" si="8"/>
        <v>45340</v>
      </c>
      <c r="K31" s="146">
        <v>1443.5</v>
      </c>
      <c r="L31" s="128">
        <f t="shared" si="0"/>
        <v>-3.4254365424499889E-2</v>
      </c>
      <c r="N31" s="148">
        <f t="shared" si="9"/>
        <v>45340</v>
      </c>
      <c r="O31">
        <v>364.6</v>
      </c>
      <c r="P31" s="128">
        <f t="shared" si="1"/>
        <v>-1.259309410968168E-2</v>
      </c>
      <c r="R31" s="148">
        <f t="shared" si="10"/>
        <v>45340</v>
      </c>
      <c r="S31">
        <v>195.6</v>
      </c>
      <c r="T31" s="128">
        <f t="shared" si="2"/>
        <v>-4.5801526717557106E-3</v>
      </c>
      <c r="V31" s="148">
        <f t="shared" si="11"/>
        <v>45340</v>
      </c>
      <c r="W31">
        <v>300.62</v>
      </c>
      <c r="X31" s="128">
        <f t="shared" si="3"/>
        <v>-8.0184787988780704E-3</v>
      </c>
      <c r="Z31" s="148">
        <f t="shared" si="12"/>
        <v>45340</v>
      </c>
      <c r="AA31" s="146">
        <v>22212.7</v>
      </c>
      <c r="AB31" s="128">
        <f t="shared" si="13"/>
        <v>7.8037448901351336E-3</v>
      </c>
    </row>
    <row r="32" spans="2:32" x14ac:dyDescent="0.35">
      <c r="B32" s="148">
        <f t="shared" si="4"/>
        <v>45347</v>
      </c>
      <c r="C32" s="146">
        <v>2831.75</v>
      </c>
      <c r="D32" s="128">
        <f t="shared" si="5"/>
        <v>-5.1641856025720356E-2</v>
      </c>
      <c r="F32" s="148">
        <f t="shared" si="6"/>
        <v>45347</v>
      </c>
      <c r="G32">
        <v>589.04999999999995</v>
      </c>
      <c r="H32" s="128">
        <f t="shared" si="7"/>
        <v>3.0167890870933967E-2</v>
      </c>
      <c r="J32" s="148">
        <f t="shared" si="8"/>
        <v>45347</v>
      </c>
      <c r="K32" s="146">
        <v>1400.95</v>
      </c>
      <c r="L32" s="128">
        <f t="shared" si="0"/>
        <v>-2.947696570834768E-2</v>
      </c>
      <c r="N32" s="148">
        <f t="shared" si="9"/>
        <v>45347</v>
      </c>
      <c r="O32">
        <v>347.65</v>
      </c>
      <c r="P32" s="128">
        <f t="shared" si="1"/>
        <v>-4.6489303346132882E-2</v>
      </c>
      <c r="R32" s="148">
        <f t="shared" si="10"/>
        <v>45347</v>
      </c>
      <c r="S32">
        <v>172.25</v>
      </c>
      <c r="T32" s="128">
        <f t="shared" si="2"/>
        <v>-0.1193762781186094</v>
      </c>
      <c r="V32" s="148">
        <f t="shared" si="11"/>
        <v>45347</v>
      </c>
      <c r="W32">
        <v>288.77</v>
      </c>
      <c r="X32" s="128">
        <f t="shared" si="3"/>
        <v>-3.9418535027609725E-2</v>
      </c>
      <c r="Z32" s="148">
        <f t="shared" si="12"/>
        <v>45347</v>
      </c>
      <c r="AA32" s="146">
        <v>22338.75</v>
      </c>
      <c r="AB32" s="128">
        <f t="shared" si="13"/>
        <v>5.6746816010659895E-3</v>
      </c>
    </row>
    <row r="33" spans="2:28" x14ac:dyDescent="0.35">
      <c r="B33" s="148">
        <f t="shared" si="4"/>
        <v>45354</v>
      </c>
      <c r="C33" s="146">
        <v>2870.55</v>
      </c>
      <c r="D33" s="128">
        <f t="shared" si="5"/>
        <v>1.3701774521055921E-2</v>
      </c>
      <c r="F33" s="148">
        <f t="shared" si="6"/>
        <v>45354</v>
      </c>
      <c r="G33">
        <v>573.25</v>
      </c>
      <c r="H33" s="128">
        <f t="shared" si="7"/>
        <v>-2.6822850352262062E-2</v>
      </c>
      <c r="J33" s="148">
        <f t="shared" si="8"/>
        <v>45354</v>
      </c>
      <c r="K33" s="146">
        <v>1363.55</v>
      </c>
      <c r="L33" s="128">
        <f t="shared" si="0"/>
        <v>-2.6696170455762225E-2</v>
      </c>
      <c r="N33" s="148">
        <f t="shared" si="9"/>
        <v>45354</v>
      </c>
      <c r="O33">
        <v>334.5</v>
      </c>
      <c r="P33" s="128">
        <f t="shared" si="1"/>
        <v>-3.7825399108298519E-2</v>
      </c>
      <c r="R33" s="148">
        <f t="shared" si="10"/>
        <v>45354</v>
      </c>
      <c r="S33">
        <v>180.4</v>
      </c>
      <c r="T33" s="128">
        <f t="shared" si="2"/>
        <v>4.7314949201741729E-2</v>
      </c>
      <c r="V33" s="148">
        <f t="shared" si="11"/>
        <v>45354</v>
      </c>
      <c r="W33">
        <v>282.8</v>
      </c>
      <c r="X33" s="128">
        <f t="shared" si="3"/>
        <v>-2.0673892717387399E-2</v>
      </c>
      <c r="Z33" s="148">
        <f t="shared" si="12"/>
        <v>45354</v>
      </c>
      <c r="AA33" s="146">
        <v>22493.55</v>
      </c>
      <c r="AB33" s="128">
        <f t="shared" si="13"/>
        <v>6.929662581836471E-3</v>
      </c>
    </row>
    <row r="34" spans="2:28" x14ac:dyDescent="0.35">
      <c r="B34" s="148">
        <f t="shared" si="4"/>
        <v>45361</v>
      </c>
      <c r="C34" s="146">
        <v>2867.55</v>
      </c>
      <c r="D34" s="128">
        <f t="shared" si="5"/>
        <v>-1.0450958875476424E-3</v>
      </c>
      <c r="F34" s="148">
        <f t="shared" si="6"/>
        <v>45361</v>
      </c>
      <c r="G34">
        <v>557.9</v>
      </c>
      <c r="H34" s="128">
        <f t="shared" si="7"/>
        <v>-2.6777147841256066E-2</v>
      </c>
      <c r="J34" s="148">
        <f t="shared" si="8"/>
        <v>45361</v>
      </c>
      <c r="K34" s="146">
        <v>1341.45</v>
      </c>
      <c r="L34" s="128">
        <f t="shared" si="0"/>
        <v>-1.6207693153899694E-2</v>
      </c>
      <c r="N34" s="148">
        <f t="shared" si="9"/>
        <v>45361</v>
      </c>
      <c r="O34">
        <v>302.5</v>
      </c>
      <c r="P34" s="128">
        <f t="shared" si="1"/>
        <v>-9.5665171898355772E-2</v>
      </c>
      <c r="R34" s="148">
        <f t="shared" si="10"/>
        <v>45361</v>
      </c>
      <c r="S34">
        <v>166.4</v>
      </c>
      <c r="T34" s="128">
        <f t="shared" si="2"/>
        <v>-7.7605321507760561E-2</v>
      </c>
      <c r="V34" s="148">
        <f t="shared" si="11"/>
        <v>45361</v>
      </c>
      <c r="W34">
        <v>270.14999999999998</v>
      </c>
      <c r="X34" s="128">
        <f t="shared" si="3"/>
        <v>-4.4731258840169819E-2</v>
      </c>
      <c r="Z34" s="148">
        <f t="shared" si="12"/>
        <v>45361</v>
      </c>
      <c r="AA34" s="146">
        <v>22023.35</v>
      </c>
      <c r="AB34" s="128">
        <f t="shared" si="13"/>
        <v>-2.0903770191899484E-2</v>
      </c>
    </row>
    <row r="35" spans="2:28" x14ac:dyDescent="0.35">
      <c r="B35" s="148">
        <f t="shared" si="4"/>
        <v>45368</v>
      </c>
      <c r="C35" s="146">
        <v>2841.5</v>
      </c>
      <c r="D35" s="128">
        <f t="shared" si="5"/>
        <v>-9.0844100364423364E-3</v>
      </c>
      <c r="F35" s="148">
        <f t="shared" si="6"/>
        <v>45368</v>
      </c>
      <c r="G35">
        <v>558.04999999999995</v>
      </c>
      <c r="H35" s="128">
        <f t="shared" si="7"/>
        <v>2.6886538806225602E-4</v>
      </c>
      <c r="J35" s="148">
        <f t="shared" si="8"/>
        <v>45368</v>
      </c>
      <c r="K35" s="146">
        <v>1321.2</v>
      </c>
      <c r="L35" s="128">
        <f t="shared" si="0"/>
        <v>-1.5095605501509568E-2</v>
      </c>
      <c r="N35" s="148">
        <f t="shared" si="9"/>
        <v>45368</v>
      </c>
      <c r="O35">
        <v>299.05</v>
      </c>
      <c r="P35" s="128">
        <f t="shared" si="1"/>
        <v>-1.1404958677685872E-2</v>
      </c>
      <c r="R35" s="148">
        <f t="shared" si="10"/>
        <v>45368</v>
      </c>
      <c r="S35">
        <v>165</v>
      </c>
      <c r="T35" s="128">
        <f t="shared" si="2"/>
        <v>-8.4134615384615641E-3</v>
      </c>
      <c r="V35" s="148">
        <f t="shared" si="11"/>
        <v>45368</v>
      </c>
      <c r="W35">
        <v>267.45999999999998</v>
      </c>
      <c r="X35" s="128">
        <f t="shared" si="3"/>
        <v>-9.9574310568202318E-3</v>
      </c>
      <c r="Z35" s="148">
        <f t="shared" si="12"/>
        <v>45368</v>
      </c>
      <c r="AA35" s="146">
        <v>22096.75</v>
      </c>
      <c r="AB35" s="128">
        <f t="shared" si="13"/>
        <v>3.3328262957270649E-3</v>
      </c>
    </row>
    <row r="36" spans="2:28" x14ac:dyDescent="0.35">
      <c r="B36" s="148">
        <f t="shared" si="4"/>
        <v>45375</v>
      </c>
      <c r="C36" s="146">
        <v>2846.75</v>
      </c>
      <c r="D36" s="128">
        <f t="shared" si="5"/>
        <v>1.8476156959352785E-3</v>
      </c>
      <c r="F36" s="148">
        <f t="shared" si="6"/>
        <v>45375</v>
      </c>
      <c r="G36">
        <v>572.9</v>
      </c>
      <c r="H36" s="128">
        <f t="shared" si="7"/>
        <v>2.6610518770719516E-2</v>
      </c>
      <c r="J36" s="148">
        <f t="shared" si="8"/>
        <v>45375</v>
      </c>
      <c r="K36" s="146">
        <v>1256.5999999999999</v>
      </c>
      <c r="L36" s="128">
        <f t="shared" si="0"/>
        <v>-4.8894943990311912E-2</v>
      </c>
      <c r="N36" s="148">
        <f t="shared" si="9"/>
        <v>45375</v>
      </c>
      <c r="O36">
        <v>284.64999999999998</v>
      </c>
      <c r="P36" s="128">
        <f t="shared" si="1"/>
        <v>-4.8152482862397705E-2</v>
      </c>
      <c r="R36" s="148">
        <f t="shared" si="10"/>
        <v>45375</v>
      </c>
      <c r="S36">
        <v>166.1</v>
      </c>
      <c r="T36" s="128">
        <f t="shared" si="2"/>
        <v>6.6666666666665986E-3</v>
      </c>
      <c r="V36" s="148">
        <f t="shared" si="11"/>
        <v>45375</v>
      </c>
      <c r="W36">
        <v>261.08999999999997</v>
      </c>
      <c r="X36" s="128">
        <f t="shared" si="3"/>
        <v>-2.3816645479697862E-2</v>
      </c>
      <c r="Z36" s="148">
        <f t="shared" si="12"/>
        <v>45375</v>
      </c>
      <c r="AA36" s="146">
        <v>22326.9</v>
      </c>
      <c r="AB36" s="128">
        <f t="shared" si="13"/>
        <v>1.0415558849152129E-2</v>
      </c>
    </row>
    <row r="37" spans="2:28" x14ac:dyDescent="0.35">
      <c r="B37" s="148">
        <f t="shared" si="4"/>
        <v>45382</v>
      </c>
      <c r="C37" s="146">
        <v>2883.45</v>
      </c>
      <c r="D37" s="128">
        <f t="shared" si="5"/>
        <v>1.2891894265390391E-2</v>
      </c>
      <c r="F37" s="148">
        <f t="shared" si="6"/>
        <v>45382</v>
      </c>
      <c r="G37">
        <v>561.79999999999995</v>
      </c>
      <c r="H37" s="128">
        <f t="shared" si="7"/>
        <v>-1.9375109094082799E-2</v>
      </c>
      <c r="J37" s="148">
        <f t="shared" si="8"/>
        <v>45382</v>
      </c>
      <c r="K37" s="146">
        <v>1394.65</v>
      </c>
      <c r="L37" s="128">
        <f t="shared" si="0"/>
        <v>0.10985993951933803</v>
      </c>
      <c r="N37" s="148">
        <f t="shared" si="9"/>
        <v>45382</v>
      </c>
      <c r="O37">
        <v>352.2</v>
      </c>
      <c r="P37" s="128">
        <f t="shared" si="1"/>
        <v>0.23730897593535927</v>
      </c>
      <c r="R37" s="148">
        <f t="shared" si="10"/>
        <v>45382</v>
      </c>
      <c r="S37">
        <v>176</v>
      </c>
      <c r="T37" s="128">
        <f t="shared" si="2"/>
        <v>5.9602649006622599E-2</v>
      </c>
      <c r="V37" s="148">
        <f t="shared" si="11"/>
        <v>45382</v>
      </c>
      <c r="W37">
        <v>283.89</v>
      </c>
      <c r="X37" s="128">
        <f t="shared" si="3"/>
        <v>8.7326209353096651E-2</v>
      </c>
      <c r="Z37" s="148">
        <f t="shared" si="12"/>
        <v>45382</v>
      </c>
      <c r="AA37" s="146">
        <v>22513.7</v>
      </c>
      <c r="AB37" s="128">
        <f t="shared" si="13"/>
        <v>8.3665891816597782E-3</v>
      </c>
    </row>
    <row r="38" spans="2:28" x14ac:dyDescent="0.35">
      <c r="B38" s="148">
        <f t="shared" si="4"/>
        <v>45389</v>
      </c>
      <c r="C38" s="146">
        <v>2854.5</v>
      </c>
      <c r="D38" s="128">
        <f t="shared" si="5"/>
        <v>-1.0040056182697765E-2</v>
      </c>
      <c r="F38" s="148">
        <f t="shared" si="6"/>
        <v>45389</v>
      </c>
      <c r="G38">
        <v>556.75</v>
      </c>
      <c r="H38" s="128">
        <f t="shared" si="7"/>
        <v>-8.9889640441437324E-3</v>
      </c>
      <c r="J38" s="148">
        <f t="shared" si="8"/>
        <v>45389</v>
      </c>
      <c r="K38" s="146">
        <v>1347.8</v>
      </c>
      <c r="L38" s="128">
        <f t="shared" si="0"/>
        <v>-3.3592657656042801E-2</v>
      </c>
      <c r="N38" s="148">
        <f t="shared" si="9"/>
        <v>45389</v>
      </c>
      <c r="O38">
        <v>337.3</v>
      </c>
      <c r="P38" s="128">
        <f t="shared" si="1"/>
        <v>-4.2305508233957956E-2</v>
      </c>
      <c r="R38" s="148">
        <f t="shared" si="10"/>
        <v>45389</v>
      </c>
      <c r="S38">
        <v>168.9</v>
      </c>
      <c r="T38" s="128">
        <f t="shared" si="2"/>
        <v>-4.0340909090909038E-2</v>
      </c>
      <c r="V38" s="148">
        <f t="shared" si="11"/>
        <v>45389</v>
      </c>
      <c r="W38">
        <v>279.16000000000003</v>
      </c>
      <c r="X38" s="128">
        <f t="shared" si="3"/>
        <v>-1.6661382930007962E-2</v>
      </c>
      <c r="Z38" s="148">
        <f t="shared" si="12"/>
        <v>45389</v>
      </c>
      <c r="AA38" s="146">
        <v>22519.4</v>
      </c>
      <c r="AB38" s="128">
        <f t="shared" si="13"/>
        <v>2.5317917534661838E-4</v>
      </c>
    </row>
    <row r="39" spans="2:28" x14ac:dyDescent="0.35">
      <c r="B39" s="148">
        <f t="shared" si="4"/>
        <v>45396</v>
      </c>
      <c r="C39" s="146">
        <v>2808.55</v>
      </c>
      <c r="D39" s="128">
        <f t="shared" si="5"/>
        <v>-1.6097390085829333E-2</v>
      </c>
      <c r="F39" s="148">
        <f t="shared" si="6"/>
        <v>45396</v>
      </c>
      <c r="G39">
        <v>504.85</v>
      </c>
      <c r="H39" s="128">
        <f t="shared" si="7"/>
        <v>-9.3219577907498796E-2</v>
      </c>
      <c r="J39" s="148">
        <f t="shared" si="8"/>
        <v>45396</v>
      </c>
      <c r="K39" s="146">
        <v>1312.25</v>
      </c>
      <c r="L39" s="128">
        <f t="shared" si="0"/>
        <v>-2.6376316960973423E-2</v>
      </c>
      <c r="N39" s="148">
        <f t="shared" si="9"/>
        <v>45396</v>
      </c>
      <c r="O39">
        <v>319.75</v>
      </c>
      <c r="P39" s="128">
        <f t="shared" si="1"/>
        <v>-5.2030833086273431E-2</v>
      </c>
      <c r="R39" s="148">
        <f t="shared" si="10"/>
        <v>45396</v>
      </c>
      <c r="S39">
        <v>172.1</v>
      </c>
      <c r="T39" s="128">
        <f t="shared" si="2"/>
        <v>1.8946121965660145E-2</v>
      </c>
      <c r="V39" s="148">
        <f t="shared" si="11"/>
        <v>45396</v>
      </c>
      <c r="W39">
        <v>272.14</v>
      </c>
      <c r="X39" s="128">
        <f t="shared" si="3"/>
        <v>-2.5146869178965581E-2</v>
      </c>
      <c r="Z39" s="148">
        <f t="shared" si="12"/>
        <v>45396</v>
      </c>
      <c r="AA39" s="146">
        <v>22147</v>
      </c>
      <c r="AB39" s="128">
        <f t="shared" si="13"/>
        <v>-1.6536852669254087E-2</v>
      </c>
    </row>
    <row r="40" spans="2:28" x14ac:dyDescent="0.35">
      <c r="B40" s="148">
        <f t="shared" si="4"/>
        <v>45403</v>
      </c>
      <c r="C40" s="146">
        <v>2844.15</v>
      </c>
      <c r="D40" s="128">
        <f t="shared" si="5"/>
        <v>1.2675579925584435E-2</v>
      </c>
      <c r="F40" s="148">
        <f t="shared" si="6"/>
        <v>45403</v>
      </c>
      <c r="G40">
        <v>503.45</v>
      </c>
      <c r="H40" s="128">
        <f t="shared" si="7"/>
        <v>-2.773100921065752E-3</v>
      </c>
      <c r="J40" s="148">
        <f t="shared" si="8"/>
        <v>45403</v>
      </c>
      <c r="K40" s="146">
        <v>1325</v>
      </c>
      <c r="L40" s="128">
        <f t="shared" si="0"/>
        <v>9.7161364069346945E-3</v>
      </c>
      <c r="N40" s="148">
        <f t="shared" si="9"/>
        <v>45403</v>
      </c>
      <c r="O40">
        <v>318.55</v>
      </c>
      <c r="P40" s="128">
        <f t="shared" si="1"/>
        <v>-3.7529319781078874E-3</v>
      </c>
      <c r="R40" s="148">
        <f t="shared" si="10"/>
        <v>45403</v>
      </c>
      <c r="S40">
        <v>168.55</v>
      </c>
      <c r="T40" s="128">
        <f t="shared" si="2"/>
        <v>-2.0627542126670395E-2</v>
      </c>
      <c r="V40" s="148">
        <f t="shared" si="11"/>
        <v>45403</v>
      </c>
      <c r="W40">
        <v>278.66000000000003</v>
      </c>
      <c r="X40" s="128">
        <f t="shared" si="3"/>
        <v>2.3958256779598841E-2</v>
      </c>
      <c r="Z40" s="148">
        <f t="shared" si="12"/>
        <v>45403</v>
      </c>
      <c r="AA40" s="146">
        <v>22419.95</v>
      </c>
      <c r="AB40" s="128">
        <f t="shared" si="13"/>
        <v>1.2324468325281002E-2</v>
      </c>
    </row>
    <row r="41" spans="2:28" x14ac:dyDescent="0.35">
      <c r="B41" s="148">
        <f t="shared" si="4"/>
        <v>45410</v>
      </c>
      <c r="C41" s="146">
        <v>2929.75</v>
      </c>
      <c r="D41" s="128">
        <f t="shared" si="5"/>
        <v>3.0096865495842229E-2</v>
      </c>
      <c r="F41" s="148">
        <f t="shared" si="6"/>
        <v>45410</v>
      </c>
      <c r="G41">
        <v>523</v>
      </c>
      <c r="H41" s="128">
        <f t="shared" si="7"/>
        <v>3.8832058794319169E-2</v>
      </c>
      <c r="J41" s="148">
        <f t="shared" si="8"/>
        <v>45410</v>
      </c>
      <c r="K41" s="146">
        <v>1380.2</v>
      </c>
      <c r="L41" s="128">
        <f t="shared" si="0"/>
        <v>4.1660377358490708E-2</v>
      </c>
      <c r="N41" s="148">
        <f t="shared" si="9"/>
        <v>45410</v>
      </c>
      <c r="O41">
        <v>316.25</v>
      </c>
      <c r="P41" s="128">
        <f t="shared" si="1"/>
        <v>-7.2202166064981865E-3</v>
      </c>
      <c r="R41" s="148">
        <f t="shared" si="10"/>
        <v>45410</v>
      </c>
      <c r="S41">
        <v>173.3</v>
      </c>
      <c r="T41" s="128">
        <f t="shared" si="2"/>
        <v>2.8181548501928111E-2</v>
      </c>
      <c r="V41" s="148">
        <f t="shared" si="11"/>
        <v>45410</v>
      </c>
      <c r="W41">
        <v>286.27999999999997</v>
      </c>
      <c r="X41" s="128">
        <f t="shared" si="3"/>
        <v>2.7345151797889766E-2</v>
      </c>
      <c r="Z41" s="148">
        <f t="shared" si="12"/>
        <v>45410</v>
      </c>
      <c r="AA41" s="146">
        <v>22475.85</v>
      </c>
      <c r="AB41" s="128">
        <f t="shared" si="13"/>
        <v>2.4933151055197555E-3</v>
      </c>
    </row>
    <row r="42" spans="2:28" x14ac:dyDescent="0.35">
      <c r="B42" s="148">
        <f t="shared" si="4"/>
        <v>45417</v>
      </c>
      <c r="C42" s="146">
        <v>2771.25</v>
      </c>
      <c r="D42" s="128">
        <f t="shared" si="5"/>
        <v>-5.4100179196177156E-2</v>
      </c>
      <c r="F42" s="148">
        <f t="shared" si="6"/>
        <v>45417</v>
      </c>
      <c r="G42">
        <v>490.35</v>
      </c>
      <c r="H42" s="128">
        <f t="shared" si="7"/>
        <v>-6.2428298279158634E-2</v>
      </c>
      <c r="J42" s="148">
        <f t="shared" si="8"/>
        <v>45417</v>
      </c>
      <c r="K42" s="146">
        <v>1354.55</v>
      </c>
      <c r="L42" s="128">
        <f t="shared" si="0"/>
        <v>-1.8584263150268177E-2</v>
      </c>
      <c r="N42" s="148">
        <f t="shared" si="9"/>
        <v>45417</v>
      </c>
      <c r="O42">
        <v>317.25</v>
      </c>
      <c r="P42" s="128">
        <f t="shared" si="1"/>
        <v>3.1620553359683612E-3</v>
      </c>
      <c r="R42" s="148">
        <f t="shared" si="10"/>
        <v>45417</v>
      </c>
      <c r="S42">
        <v>159.85</v>
      </c>
      <c r="T42" s="128">
        <f t="shared" si="2"/>
        <v>-7.7611079053664267E-2</v>
      </c>
      <c r="V42" s="148">
        <f t="shared" si="11"/>
        <v>45417</v>
      </c>
      <c r="W42">
        <v>276.62</v>
      </c>
      <c r="X42" s="128">
        <f t="shared" si="3"/>
        <v>-3.3743188486796027E-2</v>
      </c>
      <c r="Z42" s="148">
        <f t="shared" si="12"/>
        <v>45417</v>
      </c>
      <c r="AA42" s="146">
        <v>22055.200000000001</v>
      </c>
      <c r="AB42" s="128">
        <f t="shared" si="13"/>
        <v>-1.8715643679771743E-2</v>
      </c>
    </row>
    <row r="43" spans="2:28" x14ac:dyDescent="0.35">
      <c r="B43" s="148">
        <f t="shared" si="4"/>
        <v>45424</v>
      </c>
      <c r="C43" s="146">
        <v>2809.9</v>
      </c>
      <c r="D43" s="128">
        <f t="shared" si="5"/>
        <v>1.3946774921064442E-2</v>
      </c>
      <c r="F43" s="148">
        <f t="shared" si="6"/>
        <v>45424</v>
      </c>
      <c r="G43">
        <v>492.05</v>
      </c>
      <c r="H43" s="128">
        <f t="shared" si="7"/>
        <v>3.4669113898235793E-3</v>
      </c>
      <c r="J43" s="148">
        <f t="shared" si="8"/>
        <v>45424</v>
      </c>
      <c r="K43" s="146">
        <v>1373.4</v>
      </c>
      <c r="L43" s="128">
        <f t="shared" si="0"/>
        <v>1.3916060684360243E-2</v>
      </c>
      <c r="N43" s="148">
        <f t="shared" si="9"/>
        <v>45424</v>
      </c>
      <c r="O43">
        <v>323.35000000000002</v>
      </c>
      <c r="P43" s="128">
        <f t="shared" si="1"/>
        <v>1.9227738376674575E-2</v>
      </c>
      <c r="R43" s="148">
        <f t="shared" si="10"/>
        <v>45424</v>
      </c>
      <c r="S43">
        <v>159.65</v>
      </c>
      <c r="T43" s="128">
        <f t="shared" si="2"/>
        <v>-1.2511729746637057E-3</v>
      </c>
      <c r="V43" s="148">
        <f t="shared" si="11"/>
        <v>45424</v>
      </c>
      <c r="W43">
        <v>275.58</v>
      </c>
      <c r="X43" s="128">
        <f t="shared" si="3"/>
        <v>-3.7596703058347947E-3</v>
      </c>
      <c r="Z43" s="148">
        <f t="shared" si="12"/>
        <v>45424</v>
      </c>
      <c r="AA43" s="146">
        <v>22466.1</v>
      </c>
      <c r="AB43" s="128">
        <f t="shared" si="13"/>
        <v>1.8630527041241907E-2</v>
      </c>
    </row>
    <row r="44" spans="2:28" x14ac:dyDescent="0.35">
      <c r="B44" s="148">
        <f t="shared" si="4"/>
        <v>45431</v>
      </c>
      <c r="C44" s="146">
        <v>2874.75</v>
      </c>
      <c r="D44" s="128">
        <f t="shared" si="5"/>
        <v>2.3079113135698659E-2</v>
      </c>
      <c r="F44" s="148">
        <f t="shared" si="6"/>
        <v>45431</v>
      </c>
      <c r="G44">
        <v>487.8</v>
      </c>
      <c r="H44" s="128">
        <f t="shared" si="7"/>
        <v>-8.6373336043085169E-3</v>
      </c>
      <c r="J44" s="148">
        <f t="shared" si="8"/>
        <v>45431</v>
      </c>
      <c r="K44" s="146">
        <v>1356.4</v>
      </c>
      <c r="L44" s="128">
        <f t="shared" si="0"/>
        <v>-1.2378039900975635E-2</v>
      </c>
      <c r="N44" s="148">
        <f t="shared" si="9"/>
        <v>45431</v>
      </c>
      <c r="O44">
        <v>327.10000000000002</v>
      </c>
      <c r="P44" s="128">
        <f t="shared" si="1"/>
        <v>1.1597340343281193E-2</v>
      </c>
      <c r="R44" s="148">
        <f t="shared" si="10"/>
        <v>45431</v>
      </c>
      <c r="S44">
        <v>154.4</v>
      </c>
      <c r="T44" s="128">
        <f t="shared" si="2"/>
        <v>-3.2884434700908183E-2</v>
      </c>
      <c r="V44" s="148">
        <f t="shared" si="11"/>
        <v>45431</v>
      </c>
      <c r="W44">
        <v>272.04000000000002</v>
      </c>
      <c r="X44" s="128">
        <f t="shared" si="3"/>
        <v>-1.2845634661441174E-2</v>
      </c>
      <c r="Z44" s="148">
        <f t="shared" si="12"/>
        <v>45431</v>
      </c>
      <c r="AA44" s="146">
        <v>22957.1</v>
      </c>
      <c r="AB44" s="128">
        <f t="shared" si="13"/>
        <v>2.1855150649200406E-2</v>
      </c>
    </row>
    <row r="45" spans="2:28" x14ac:dyDescent="0.35">
      <c r="B45" s="148">
        <f t="shared" si="4"/>
        <v>45438</v>
      </c>
      <c r="C45" s="146">
        <v>2881.2</v>
      </c>
      <c r="D45" s="128">
        <f t="shared" si="5"/>
        <v>2.2436733629009886E-3</v>
      </c>
      <c r="F45" s="148">
        <f t="shared" si="6"/>
        <v>45438</v>
      </c>
      <c r="G45">
        <v>459.55</v>
      </c>
      <c r="H45" s="128">
        <f t="shared" si="7"/>
        <v>-5.7913079130791356E-2</v>
      </c>
      <c r="J45" s="148">
        <f t="shared" si="8"/>
        <v>45438</v>
      </c>
      <c r="K45" s="146">
        <v>1340.3</v>
      </c>
      <c r="L45" s="128">
        <f t="shared" si="0"/>
        <v>-1.1869654969035803E-2</v>
      </c>
      <c r="N45" s="148">
        <f t="shared" si="9"/>
        <v>45438</v>
      </c>
      <c r="O45">
        <v>313.3</v>
      </c>
      <c r="P45" s="128">
        <f t="shared" si="1"/>
        <v>-4.2188933047997534E-2</v>
      </c>
      <c r="R45" s="148">
        <f t="shared" si="10"/>
        <v>45438</v>
      </c>
      <c r="S45">
        <v>147</v>
      </c>
      <c r="T45" s="128">
        <f t="shared" si="2"/>
        <v>-4.7927461139896432E-2</v>
      </c>
      <c r="V45" s="148">
        <f t="shared" si="11"/>
        <v>45438</v>
      </c>
      <c r="W45">
        <v>268.41000000000003</v>
      </c>
      <c r="X45" s="128">
        <f t="shared" si="3"/>
        <v>-1.3343625937362158E-2</v>
      </c>
      <c r="Z45" s="148">
        <f t="shared" si="12"/>
        <v>45438</v>
      </c>
      <c r="AA45" s="146">
        <v>22530.7</v>
      </c>
      <c r="AB45" s="128">
        <f t="shared" si="13"/>
        <v>-1.8573774562117951E-2</v>
      </c>
    </row>
    <row r="46" spans="2:28" x14ac:dyDescent="0.35">
      <c r="B46" s="148">
        <f t="shared" si="4"/>
        <v>45445</v>
      </c>
      <c r="C46" s="146">
        <v>2927.7</v>
      </c>
      <c r="D46" s="128">
        <f t="shared" si="5"/>
        <v>1.6139108704706473E-2</v>
      </c>
      <c r="F46" s="148">
        <f t="shared" si="6"/>
        <v>45445</v>
      </c>
      <c r="G46">
        <v>482.55</v>
      </c>
      <c r="H46" s="128">
        <f t="shared" si="7"/>
        <v>5.0048960940050069E-2</v>
      </c>
      <c r="J46" s="148">
        <f t="shared" si="8"/>
        <v>45445</v>
      </c>
      <c r="K46" s="146">
        <v>1365.65</v>
      </c>
      <c r="L46" s="128">
        <f t="shared" si="0"/>
        <v>1.891367604267713E-2</v>
      </c>
      <c r="N46" s="148">
        <f t="shared" si="9"/>
        <v>45445</v>
      </c>
      <c r="O46">
        <v>323.10000000000002</v>
      </c>
      <c r="P46" s="128">
        <f t="shared" si="1"/>
        <v>3.127992339610608E-2</v>
      </c>
      <c r="R46" s="148">
        <f t="shared" si="10"/>
        <v>45445</v>
      </c>
      <c r="S46">
        <v>150.4</v>
      </c>
      <c r="T46" s="128">
        <f t="shared" si="2"/>
        <v>2.3129251700680253E-2</v>
      </c>
      <c r="V46" s="148">
        <f t="shared" si="11"/>
        <v>45445</v>
      </c>
      <c r="W46">
        <v>276.77</v>
      </c>
      <c r="X46" s="128">
        <f t="shared" si="3"/>
        <v>3.1146380537237617E-2</v>
      </c>
      <c r="Z46" s="148">
        <f t="shared" si="12"/>
        <v>45445</v>
      </c>
      <c r="AA46" s="146">
        <v>23290.15</v>
      </c>
      <c r="AB46" s="128">
        <f t="shared" si="13"/>
        <v>3.3707341538434354E-2</v>
      </c>
    </row>
    <row r="47" spans="2:28" x14ac:dyDescent="0.35">
      <c r="B47" s="148">
        <f t="shared" si="4"/>
        <v>45452</v>
      </c>
      <c r="C47" s="146">
        <v>2921.6</v>
      </c>
      <c r="D47" s="128">
        <f t="shared" si="5"/>
        <v>-2.0835468114902556E-3</v>
      </c>
      <c r="F47" s="148">
        <f t="shared" si="6"/>
        <v>45452</v>
      </c>
      <c r="G47">
        <v>502.45</v>
      </c>
      <c r="H47" s="128">
        <f t="shared" si="7"/>
        <v>4.1239249818671553E-2</v>
      </c>
      <c r="J47" s="148">
        <f t="shared" si="8"/>
        <v>45452</v>
      </c>
      <c r="K47" s="146">
        <v>1374.9</v>
      </c>
      <c r="L47" s="128">
        <f t="shared" si="0"/>
        <v>6.7733313806612738E-3</v>
      </c>
      <c r="N47" s="148">
        <f t="shared" si="9"/>
        <v>45452</v>
      </c>
      <c r="O47">
        <v>328.65</v>
      </c>
      <c r="P47" s="128">
        <f t="shared" si="1"/>
        <v>1.7177344475394429E-2</v>
      </c>
      <c r="R47" s="148">
        <f t="shared" si="10"/>
        <v>45452</v>
      </c>
      <c r="S47">
        <v>149.66999999999999</v>
      </c>
      <c r="T47" s="128">
        <f t="shared" si="2"/>
        <v>-4.8537234042554944E-3</v>
      </c>
      <c r="V47" s="148">
        <f t="shared" si="11"/>
        <v>45452</v>
      </c>
      <c r="W47">
        <v>281.64999999999998</v>
      </c>
      <c r="X47" s="128">
        <f t="shared" si="3"/>
        <v>1.7631968782743757E-2</v>
      </c>
      <c r="Z47" s="148">
        <f t="shared" si="12"/>
        <v>45452</v>
      </c>
      <c r="AA47" s="146">
        <v>23465.599999999999</v>
      </c>
      <c r="AB47" s="128">
        <f t="shared" si="13"/>
        <v>7.5332275661599279E-3</v>
      </c>
    </row>
    <row r="48" spans="2:28" x14ac:dyDescent="0.35">
      <c r="B48" s="148">
        <f t="shared" si="4"/>
        <v>45459</v>
      </c>
      <c r="C48" s="146">
        <v>2890.85</v>
      </c>
      <c r="D48" s="128">
        <f t="shared" si="5"/>
        <v>-1.0525054764512598E-2</v>
      </c>
      <c r="F48" s="148">
        <f t="shared" si="6"/>
        <v>45459</v>
      </c>
      <c r="G48">
        <v>502.1</v>
      </c>
      <c r="H48" s="128">
        <f t="shared" si="7"/>
        <v>-6.965867250472435E-4</v>
      </c>
      <c r="J48" s="148">
        <f t="shared" si="8"/>
        <v>45459</v>
      </c>
      <c r="K48" s="146">
        <v>1363.1</v>
      </c>
      <c r="L48" s="128">
        <f t="shared" si="0"/>
        <v>-8.5824423594444976E-3</v>
      </c>
      <c r="N48" s="148">
        <f t="shared" si="9"/>
        <v>45459</v>
      </c>
      <c r="O48">
        <v>323.7</v>
      </c>
      <c r="P48" s="128">
        <f t="shared" si="1"/>
        <v>-1.5061615700593278E-2</v>
      </c>
      <c r="R48" s="148">
        <f t="shared" si="10"/>
        <v>45459</v>
      </c>
      <c r="S48">
        <v>144.37</v>
      </c>
      <c r="T48" s="128">
        <f t="shared" si="2"/>
        <v>-3.5411238057058703E-2</v>
      </c>
      <c r="V48" s="148">
        <f t="shared" si="11"/>
        <v>45459</v>
      </c>
      <c r="W48">
        <v>274.14999999999998</v>
      </c>
      <c r="X48" s="128">
        <f t="shared" si="3"/>
        <v>-2.6628794603230976E-2</v>
      </c>
      <c r="Z48" s="148">
        <f t="shared" si="12"/>
        <v>45459</v>
      </c>
      <c r="AA48" s="146">
        <v>23501.1</v>
      </c>
      <c r="AB48" s="128">
        <f t="shared" si="13"/>
        <v>1.5128528569481325E-3</v>
      </c>
    </row>
    <row r="49" spans="2:28" x14ac:dyDescent="0.35">
      <c r="B49" s="148">
        <f t="shared" si="4"/>
        <v>45466</v>
      </c>
      <c r="C49" s="146">
        <v>2917.05</v>
      </c>
      <c r="D49" s="128">
        <f t="shared" si="5"/>
        <v>9.0630783333622844E-3</v>
      </c>
      <c r="F49" s="148">
        <f t="shared" si="6"/>
        <v>45466</v>
      </c>
      <c r="G49">
        <v>504.5</v>
      </c>
      <c r="H49" s="128">
        <f t="shared" si="7"/>
        <v>4.779924317865003E-3</v>
      </c>
      <c r="J49" s="148">
        <f t="shared" si="8"/>
        <v>45466</v>
      </c>
      <c r="K49" s="146">
        <v>1373</v>
      </c>
      <c r="L49" s="128">
        <f t="shared" si="0"/>
        <v>7.262856723644795E-3</v>
      </c>
      <c r="N49" s="148">
        <f t="shared" si="9"/>
        <v>45466</v>
      </c>
      <c r="O49">
        <v>320.64999999999998</v>
      </c>
      <c r="P49" s="128">
        <f t="shared" si="1"/>
        <v>-9.4223046030275093E-3</v>
      </c>
      <c r="R49" s="148">
        <f t="shared" si="10"/>
        <v>45466</v>
      </c>
      <c r="S49">
        <v>138.01</v>
      </c>
      <c r="T49" s="128">
        <f t="shared" si="2"/>
        <v>-4.4053473713375424E-2</v>
      </c>
      <c r="V49" s="148">
        <f t="shared" si="11"/>
        <v>45466</v>
      </c>
      <c r="W49">
        <v>270.10000000000002</v>
      </c>
      <c r="X49" s="128">
        <f t="shared" si="3"/>
        <v>-1.4772934524894921E-2</v>
      </c>
      <c r="Z49" s="148">
        <f t="shared" si="12"/>
        <v>45466</v>
      </c>
      <c r="AA49" s="146">
        <v>24010.6</v>
      </c>
      <c r="AB49" s="128">
        <f t="shared" si="13"/>
        <v>2.1679836262983532E-2</v>
      </c>
    </row>
    <row r="50" spans="2:28" x14ac:dyDescent="0.35">
      <c r="B50" s="148">
        <f t="shared" si="4"/>
        <v>45473</v>
      </c>
      <c r="C50" s="146">
        <v>2935.9</v>
      </c>
      <c r="D50" s="128">
        <f t="shared" si="5"/>
        <v>6.4620078503967449E-3</v>
      </c>
      <c r="F50" s="148">
        <f t="shared" si="6"/>
        <v>45473</v>
      </c>
      <c r="G50">
        <v>514</v>
      </c>
      <c r="H50" s="128">
        <f t="shared" si="7"/>
        <v>1.8830525272547138E-2</v>
      </c>
      <c r="J50" s="148">
        <f t="shared" si="8"/>
        <v>45473</v>
      </c>
      <c r="K50" s="146">
        <v>1399.9</v>
      </c>
      <c r="L50" s="128">
        <f t="shared" si="0"/>
        <v>1.9592134013109996E-2</v>
      </c>
      <c r="N50" s="148">
        <f t="shared" si="9"/>
        <v>45473</v>
      </c>
      <c r="O50">
        <v>344.65</v>
      </c>
      <c r="P50" s="128">
        <f t="shared" si="1"/>
        <v>7.4847965070949707E-2</v>
      </c>
      <c r="R50" s="148">
        <f t="shared" si="10"/>
        <v>45473</v>
      </c>
      <c r="S50">
        <v>152.97999999999999</v>
      </c>
      <c r="T50" s="128">
        <f t="shared" si="2"/>
        <v>0.10847040069560188</v>
      </c>
      <c r="V50" s="148">
        <f t="shared" si="11"/>
        <v>45473</v>
      </c>
      <c r="W50">
        <v>266.95</v>
      </c>
      <c r="X50" s="128">
        <f t="shared" si="3"/>
        <v>-1.166234727878579E-2</v>
      </c>
      <c r="Z50" s="148">
        <f t="shared" si="12"/>
        <v>45473</v>
      </c>
      <c r="AA50" s="146">
        <v>24323.85</v>
      </c>
      <c r="AB50" s="128">
        <f t="shared" si="13"/>
        <v>1.3046321208133094E-2</v>
      </c>
    </row>
    <row r="51" spans="2:28" x14ac:dyDescent="0.35">
      <c r="B51" s="148">
        <f t="shared" si="4"/>
        <v>45480</v>
      </c>
      <c r="C51" s="146">
        <v>2999.15</v>
      </c>
      <c r="D51" s="128">
        <f t="shared" si="5"/>
        <v>2.1543649306856594E-2</v>
      </c>
      <c r="F51" s="148">
        <f t="shared" si="6"/>
        <v>45480</v>
      </c>
      <c r="G51">
        <v>525.95000000000005</v>
      </c>
      <c r="H51" s="128">
        <f t="shared" si="7"/>
        <v>2.3249027237354225E-2</v>
      </c>
      <c r="J51" s="148">
        <f t="shared" si="8"/>
        <v>45480</v>
      </c>
      <c r="K51" s="146">
        <v>1520.85</v>
      </c>
      <c r="L51" s="128">
        <f t="shared" si="0"/>
        <v>8.6399028502035735E-2</v>
      </c>
      <c r="N51" s="148">
        <f t="shared" si="9"/>
        <v>45480</v>
      </c>
      <c r="O51">
        <v>338.8</v>
      </c>
      <c r="P51" s="128">
        <f t="shared" si="1"/>
        <v>-1.6973741476860482E-2</v>
      </c>
      <c r="R51" s="148">
        <f t="shared" si="10"/>
        <v>45480</v>
      </c>
      <c r="S51">
        <v>147.30000000000001</v>
      </c>
      <c r="T51" s="128">
        <f t="shared" si="2"/>
        <v>-3.7129036475356147E-2</v>
      </c>
      <c r="V51" s="148">
        <f t="shared" si="11"/>
        <v>45480</v>
      </c>
      <c r="W51">
        <v>278.10000000000002</v>
      </c>
      <c r="X51" s="128">
        <f t="shared" si="3"/>
        <v>4.1768121371043465E-2</v>
      </c>
      <c r="Z51" s="148">
        <f t="shared" si="12"/>
        <v>45480</v>
      </c>
      <c r="AA51" s="146">
        <v>24502.15</v>
      </c>
      <c r="AB51" s="128">
        <f t="shared" si="13"/>
        <v>7.3302540510651326E-3</v>
      </c>
    </row>
    <row r="52" spans="2:28" x14ac:dyDescent="0.35">
      <c r="B52" s="148">
        <f t="shared" si="4"/>
        <v>45487</v>
      </c>
      <c r="C52" s="146">
        <v>2946.05</v>
      </c>
      <c r="D52" s="128">
        <f t="shared" si="5"/>
        <v>-1.7705016421319386E-2</v>
      </c>
      <c r="F52" s="148">
        <f t="shared" si="6"/>
        <v>45487</v>
      </c>
      <c r="G52">
        <v>523.65</v>
      </c>
      <c r="H52" s="128">
        <f t="shared" si="7"/>
        <v>-4.3730392622873815E-3</v>
      </c>
      <c r="J52" s="148">
        <f t="shared" si="8"/>
        <v>45487</v>
      </c>
      <c r="K52" s="146">
        <v>1452.8</v>
      </c>
      <c r="L52" s="128">
        <f t="shared" si="0"/>
        <v>-4.474471512640954E-2</v>
      </c>
      <c r="N52" s="148">
        <f t="shared" si="9"/>
        <v>45487</v>
      </c>
      <c r="O52">
        <v>357.85</v>
      </c>
      <c r="P52" s="128">
        <f t="shared" si="1"/>
        <v>5.6227863046044879E-2</v>
      </c>
      <c r="R52" s="148">
        <f t="shared" si="10"/>
        <v>45487</v>
      </c>
      <c r="S52">
        <v>143.71</v>
      </c>
      <c r="T52" s="128">
        <f t="shared" si="2"/>
        <v>-2.4372029871011613E-2</v>
      </c>
      <c r="V52" s="148">
        <f t="shared" si="11"/>
        <v>45487</v>
      </c>
      <c r="W52">
        <v>271.5</v>
      </c>
      <c r="X52" s="128">
        <f t="shared" si="3"/>
        <v>-2.373247033441217E-2</v>
      </c>
      <c r="Z52" s="148">
        <f t="shared" si="12"/>
        <v>45487</v>
      </c>
      <c r="AA52" s="146">
        <v>24530.9</v>
      </c>
      <c r="AB52" s="128">
        <f t="shared" si="13"/>
        <v>1.1733664188653403E-3</v>
      </c>
    </row>
    <row r="53" spans="2:28" x14ac:dyDescent="0.35">
      <c r="B53" s="148">
        <f t="shared" si="4"/>
        <v>45494</v>
      </c>
      <c r="C53" s="146">
        <v>2950.15</v>
      </c>
      <c r="D53" s="128">
        <f t="shared" si="5"/>
        <v>1.3916939631031244E-3</v>
      </c>
      <c r="F53" s="148">
        <f t="shared" si="6"/>
        <v>45494</v>
      </c>
      <c r="G53">
        <v>542.25</v>
      </c>
      <c r="H53" s="128">
        <f t="shared" si="7"/>
        <v>3.5519908335720496E-2</v>
      </c>
      <c r="J53" s="148">
        <f t="shared" si="8"/>
        <v>45494</v>
      </c>
      <c r="K53" s="146">
        <v>1491.95</v>
      </c>
      <c r="L53" s="128">
        <f t="shared" si="0"/>
        <v>2.6947962555066152E-2</v>
      </c>
      <c r="N53" s="148">
        <f t="shared" si="9"/>
        <v>45494</v>
      </c>
      <c r="O53">
        <v>351.95</v>
      </c>
      <c r="P53" s="128">
        <f t="shared" si="1"/>
        <v>-1.6487355037026807E-2</v>
      </c>
      <c r="R53" s="148">
        <f t="shared" si="10"/>
        <v>45494</v>
      </c>
      <c r="S53">
        <v>143.79</v>
      </c>
      <c r="T53" s="128">
        <f t="shared" si="2"/>
        <v>5.5667664045633281E-4</v>
      </c>
      <c r="V53" s="148">
        <f t="shared" si="11"/>
        <v>45494</v>
      </c>
      <c r="W53">
        <v>275.3</v>
      </c>
      <c r="X53" s="128">
        <f t="shared" si="3"/>
        <v>1.3996316758747795E-2</v>
      </c>
      <c r="Z53" s="148">
        <f t="shared" si="12"/>
        <v>45494</v>
      </c>
      <c r="AA53" s="146">
        <v>24834.85</v>
      </c>
      <c r="AB53" s="128">
        <f t="shared" si="13"/>
        <v>1.2390495252925682E-2</v>
      </c>
    </row>
    <row r="54" spans="2:28" x14ac:dyDescent="0.35">
      <c r="B54" s="148">
        <f t="shared" si="4"/>
        <v>45501</v>
      </c>
      <c r="C54" s="146">
        <v>3106.7</v>
      </c>
      <c r="D54" s="128">
        <f t="shared" si="5"/>
        <v>5.3065098384827758E-2</v>
      </c>
      <c r="F54" s="148">
        <f t="shared" si="6"/>
        <v>45501</v>
      </c>
      <c r="G54">
        <v>549</v>
      </c>
      <c r="H54" s="128">
        <f t="shared" si="7"/>
        <v>1.2448132780082943E-2</v>
      </c>
      <c r="J54" s="148">
        <f t="shared" si="8"/>
        <v>45501</v>
      </c>
      <c r="K54" s="146">
        <v>1481</v>
      </c>
      <c r="L54" s="128">
        <f t="shared" si="0"/>
        <v>-7.3393880491974262E-3</v>
      </c>
      <c r="N54" s="148">
        <f t="shared" si="9"/>
        <v>45501</v>
      </c>
      <c r="O54">
        <v>360.7</v>
      </c>
      <c r="P54" s="128">
        <f t="shared" si="1"/>
        <v>2.4861486006535038E-2</v>
      </c>
      <c r="R54" s="148">
        <f t="shared" si="10"/>
        <v>45501</v>
      </c>
      <c r="S54">
        <v>150.18</v>
      </c>
      <c r="T54" s="128">
        <f t="shared" si="2"/>
        <v>4.4439808053411411E-2</v>
      </c>
      <c r="V54" s="148">
        <f t="shared" si="11"/>
        <v>45501</v>
      </c>
      <c r="W54">
        <v>302.60000000000002</v>
      </c>
      <c r="X54" s="128">
        <f t="shared" si="3"/>
        <v>9.9164547766073419E-2</v>
      </c>
      <c r="Z54" s="148">
        <f t="shared" si="12"/>
        <v>45501</v>
      </c>
      <c r="AA54" s="146">
        <v>24717.7</v>
      </c>
      <c r="AB54" s="128">
        <f t="shared" si="13"/>
        <v>-4.7171615693268887E-3</v>
      </c>
    </row>
    <row r="55" spans="2:28" x14ac:dyDescent="0.35">
      <c r="B55" s="148">
        <f t="shared" si="4"/>
        <v>45508</v>
      </c>
      <c r="C55" s="146">
        <v>3040.6</v>
      </c>
      <c r="D55" s="128">
        <f t="shared" si="5"/>
        <v>-2.1276595744680771E-2</v>
      </c>
      <c r="F55" s="148">
        <f t="shared" si="6"/>
        <v>45508</v>
      </c>
      <c r="G55">
        <v>530.54999999999995</v>
      </c>
      <c r="H55" s="128">
        <f t="shared" si="7"/>
        <v>-3.3606557377049318E-2</v>
      </c>
      <c r="J55" s="148">
        <f t="shared" si="8"/>
        <v>45508</v>
      </c>
      <c r="K55" s="146">
        <v>1422.45</v>
      </c>
      <c r="L55" s="128">
        <f t="shared" si="0"/>
        <v>-3.9534098582039157E-2</v>
      </c>
      <c r="N55" s="148">
        <f t="shared" si="9"/>
        <v>45508</v>
      </c>
      <c r="O55">
        <v>343.35</v>
      </c>
      <c r="P55" s="128">
        <f t="shared" si="1"/>
        <v>-4.8100914887718282E-2</v>
      </c>
      <c r="R55" s="148">
        <f t="shared" si="10"/>
        <v>45508</v>
      </c>
      <c r="S55">
        <v>140.21</v>
      </c>
      <c r="T55" s="128">
        <f t="shared" si="2"/>
        <v>-6.638700226394989E-2</v>
      </c>
      <c r="V55" s="148">
        <f t="shared" si="11"/>
        <v>45508</v>
      </c>
      <c r="W55">
        <v>293.7</v>
      </c>
      <c r="X55" s="128">
        <f t="shared" si="3"/>
        <v>-2.941176470588247E-2</v>
      </c>
      <c r="Z55" s="148">
        <f t="shared" si="12"/>
        <v>45508</v>
      </c>
      <c r="AA55" s="146">
        <v>24367.5</v>
      </c>
      <c r="AB55" s="128">
        <f t="shared" si="13"/>
        <v>-1.4167984885325113E-2</v>
      </c>
    </row>
    <row r="56" spans="2:28" x14ac:dyDescent="0.35">
      <c r="B56" s="148">
        <f t="shared" si="4"/>
        <v>45515</v>
      </c>
      <c r="C56" s="146">
        <v>3048.15</v>
      </c>
      <c r="D56" s="128">
        <f t="shared" si="5"/>
        <v>2.4830625534435491E-3</v>
      </c>
      <c r="F56" s="148">
        <f t="shared" si="6"/>
        <v>45515</v>
      </c>
      <c r="G56">
        <v>549.75</v>
      </c>
      <c r="H56" s="128">
        <f t="shared" si="7"/>
        <v>3.6188860616341634E-2</v>
      </c>
      <c r="J56" s="148">
        <f t="shared" si="8"/>
        <v>45515</v>
      </c>
      <c r="K56" s="146">
        <v>1435.35</v>
      </c>
      <c r="L56" s="128">
        <f t="shared" si="0"/>
        <v>9.0688600653801021E-3</v>
      </c>
      <c r="N56" s="148">
        <f t="shared" si="9"/>
        <v>45515</v>
      </c>
      <c r="O56">
        <v>325.39999999999998</v>
      </c>
      <c r="P56" s="128">
        <f t="shared" si="1"/>
        <v>-5.2279015581767951E-2</v>
      </c>
      <c r="R56" s="148">
        <f t="shared" si="10"/>
        <v>45515</v>
      </c>
      <c r="S56">
        <v>134.01</v>
      </c>
      <c r="T56" s="128">
        <f t="shared" si="2"/>
        <v>-4.4219385207902584E-2</v>
      </c>
      <c r="V56" s="148">
        <f t="shared" si="11"/>
        <v>45515</v>
      </c>
      <c r="W56">
        <v>290.10000000000002</v>
      </c>
      <c r="X56" s="128">
        <f t="shared" si="3"/>
        <v>-1.225740551583232E-2</v>
      </c>
      <c r="Z56" s="148">
        <f t="shared" si="12"/>
        <v>45515</v>
      </c>
      <c r="AA56" s="146">
        <v>24541.15</v>
      </c>
      <c r="AB56" s="128">
        <f t="shared" si="13"/>
        <v>7.1262952703396998E-3</v>
      </c>
    </row>
    <row r="57" spans="2:28" x14ac:dyDescent="0.35">
      <c r="B57" s="148">
        <f t="shared" si="4"/>
        <v>45522</v>
      </c>
      <c r="C57" s="146">
        <v>3154.65</v>
      </c>
      <c r="D57" s="128">
        <f t="shared" si="5"/>
        <v>3.4939225431819265E-2</v>
      </c>
      <c r="F57" s="148">
        <f t="shared" si="6"/>
        <v>45522</v>
      </c>
      <c r="G57">
        <v>565.95000000000005</v>
      </c>
      <c r="H57" s="128">
        <f t="shared" si="7"/>
        <v>2.9467939972714907E-2</v>
      </c>
      <c r="J57" s="148">
        <f t="shared" si="8"/>
        <v>45522</v>
      </c>
      <c r="K57" s="146">
        <v>1449.4</v>
      </c>
      <c r="L57" s="128">
        <f t="shared" si="0"/>
        <v>9.7885533145227743E-3</v>
      </c>
      <c r="N57" s="148">
        <f t="shared" si="9"/>
        <v>45522</v>
      </c>
      <c r="O57">
        <v>336.95</v>
      </c>
      <c r="P57" s="128">
        <f t="shared" si="1"/>
        <v>3.5494775660725342E-2</v>
      </c>
      <c r="R57" s="148">
        <f t="shared" si="10"/>
        <v>45522</v>
      </c>
      <c r="S57">
        <v>137.94999999999999</v>
      </c>
      <c r="T57" s="128">
        <f t="shared" si="2"/>
        <v>2.9400790985747216E-2</v>
      </c>
      <c r="V57" s="148">
        <f t="shared" si="11"/>
        <v>45522</v>
      </c>
      <c r="W57">
        <v>294.3</v>
      </c>
      <c r="X57" s="128">
        <f t="shared" si="3"/>
        <v>1.4477766287487093E-2</v>
      </c>
      <c r="Z57" s="148">
        <f t="shared" si="12"/>
        <v>45522</v>
      </c>
      <c r="AA57" s="146">
        <v>24823.15</v>
      </c>
      <c r="AB57" s="128">
        <f t="shared" si="13"/>
        <v>1.1490904052988471E-2</v>
      </c>
    </row>
    <row r="58" spans="2:28" x14ac:dyDescent="0.35">
      <c r="B58" s="148">
        <f t="shared" si="4"/>
        <v>45529</v>
      </c>
      <c r="C58" s="146">
        <v>3126.8</v>
      </c>
      <c r="D58" s="128">
        <f t="shared" si="5"/>
        <v>-8.8282376808836993E-3</v>
      </c>
      <c r="F58" s="148">
        <f t="shared" si="6"/>
        <v>45529</v>
      </c>
      <c r="G58">
        <v>570.65</v>
      </c>
      <c r="H58" s="128">
        <f t="shared" si="7"/>
        <v>8.3046205495183045E-3</v>
      </c>
      <c r="J58" s="148">
        <f t="shared" si="8"/>
        <v>45529</v>
      </c>
      <c r="K58" s="146">
        <v>1450.5</v>
      </c>
      <c r="L58" s="128">
        <f t="shared" si="0"/>
        <v>7.5893473161303682E-4</v>
      </c>
      <c r="N58" s="148">
        <f t="shared" si="9"/>
        <v>45529</v>
      </c>
      <c r="O58">
        <v>321.64999999999998</v>
      </c>
      <c r="P58" s="128">
        <f t="shared" si="1"/>
        <v>-4.540733046446066E-2</v>
      </c>
      <c r="R58" s="148">
        <f t="shared" si="10"/>
        <v>45529</v>
      </c>
      <c r="S58">
        <v>137.09</v>
      </c>
      <c r="T58" s="128">
        <f t="shared" si="2"/>
        <v>-6.2341428053641623E-3</v>
      </c>
      <c r="V58" s="148">
        <f t="shared" si="11"/>
        <v>45529</v>
      </c>
      <c r="W58">
        <v>296.5</v>
      </c>
      <c r="X58" s="128">
        <f t="shared" si="3"/>
        <v>7.4753652735304321E-3</v>
      </c>
      <c r="Z58" s="148">
        <f t="shared" si="12"/>
        <v>45529</v>
      </c>
      <c r="AA58" s="146">
        <v>25235.9</v>
      </c>
      <c r="AB58" s="128">
        <f t="shared" si="13"/>
        <v>1.6627623810837822E-2</v>
      </c>
    </row>
    <row r="59" spans="2:28" x14ac:dyDescent="0.35">
      <c r="B59" s="148">
        <f t="shared" si="4"/>
        <v>45536</v>
      </c>
      <c r="C59" s="146">
        <v>3273.7</v>
      </c>
      <c r="D59" s="128">
        <f t="shared" si="5"/>
        <v>4.698093897914779E-2</v>
      </c>
      <c r="F59" s="148">
        <f t="shared" si="6"/>
        <v>45536</v>
      </c>
      <c r="G59">
        <v>596.20000000000005</v>
      </c>
      <c r="H59" s="128">
        <f t="shared" si="7"/>
        <v>4.477350389906265E-2</v>
      </c>
      <c r="J59" s="148">
        <f t="shared" si="8"/>
        <v>45536</v>
      </c>
      <c r="K59" s="146">
        <v>1479.35</v>
      </c>
      <c r="L59" s="128">
        <f t="shared" si="0"/>
        <v>1.9889693209238057E-2</v>
      </c>
      <c r="N59" s="148">
        <f t="shared" si="9"/>
        <v>45536</v>
      </c>
      <c r="O59">
        <v>333.7</v>
      </c>
      <c r="P59" s="128">
        <f t="shared" si="1"/>
        <v>3.7463080988652253E-2</v>
      </c>
      <c r="R59" s="148">
        <f t="shared" si="10"/>
        <v>45536</v>
      </c>
      <c r="S59">
        <v>136.72999999999999</v>
      </c>
      <c r="T59" s="128">
        <f t="shared" si="2"/>
        <v>-2.6260121088337307E-3</v>
      </c>
      <c r="V59" s="148">
        <f t="shared" si="11"/>
        <v>45536</v>
      </c>
      <c r="W59">
        <v>306.05</v>
      </c>
      <c r="X59" s="128">
        <f t="shared" si="3"/>
        <v>3.2209106239460494E-2</v>
      </c>
      <c r="Z59" s="148">
        <f t="shared" si="12"/>
        <v>45536</v>
      </c>
      <c r="AA59" s="146">
        <v>24852.15</v>
      </c>
      <c r="AB59" s="128">
        <f t="shared" si="13"/>
        <v>-1.5206511358818231E-2</v>
      </c>
    </row>
    <row r="60" spans="2:28" x14ac:dyDescent="0.35">
      <c r="B60" s="148">
        <f t="shared" si="4"/>
        <v>45543</v>
      </c>
      <c r="C60" s="146">
        <v>3358.05</v>
      </c>
      <c r="D60" s="128">
        <f t="shared" si="5"/>
        <v>2.57659528973333E-2</v>
      </c>
      <c r="F60" s="148">
        <f t="shared" si="6"/>
        <v>45543</v>
      </c>
      <c r="G60">
        <v>622.35</v>
      </c>
      <c r="H60" s="128">
        <f t="shared" si="7"/>
        <v>4.3861120429386169E-2</v>
      </c>
      <c r="J60" s="148">
        <f t="shared" si="8"/>
        <v>45543</v>
      </c>
      <c r="K60" s="146">
        <v>1502.15</v>
      </c>
      <c r="L60" s="128">
        <f t="shared" si="0"/>
        <v>1.5412174265724943E-2</v>
      </c>
      <c r="N60" s="148">
        <f t="shared" si="9"/>
        <v>45543</v>
      </c>
      <c r="O60">
        <v>350.9</v>
      </c>
      <c r="P60" s="128">
        <f t="shared" si="1"/>
        <v>5.1543302367395905E-2</v>
      </c>
      <c r="R60" s="148">
        <f t="shared" si="10"/>
        <v>45543</v>
      </c>
      <c r="S60">
        <v>144.85</v>
      </c>
      <c r="T60" s="128">
        <f t="shared" si="2"/>
        <v>5.9387113288963622E-2</v>
      </c>
      <c r="V60" s="148">
        <f t="shared" si="11"/>
        <v>45543</v>
      </c>
      <c r="W60">
        <v>311.39999999999998</v>
      </c>
      <c r="X60" s="128">
        <f t="shared" si="3"/>
        <v>1.7480803790230315E-2</v>
      </c>
      <c r="Z60" s="148">
        <f t="shared" si="12"/>
        <v>45543</v>
      </c>
      <c r="AA60" s="146">
        <v>25356.5</v>
      </c>
      <c r="AB60" s="128">
        <f t="shared" si="13"/>
        <v>2.0294018827344829E-2</v>
      </c>
    </row>
    <row r="61" spans="2:28" x14ac:dyDescent="0.35">
      <c r="B61" s="148">
        <f t="shared" si="4"/>
        <v>45550</v>
      </c>
      <c r="C61" s="146">
        <v>3306.95</v>
      </c>
      <c r="D61" s="128">
        <f t="shared" si="5"/>
        <v>-1.5217164723574816E-2</v>
      </c>
      <c r="F61" s="148">
        <f t="shared" si="6"/>
        <v>45550</v>
      </c>
      <c r="G61">
        <v>622.75</v>
      </c>
      <c r="H61" s="128">
        <f t="shared" si="7"/>
        <v>6.427251546556878E-4</v>
      </c>
      <c r="J61" s="148">
        <f t="shared" si="8"/>
        <v>45550</v>
      </c>
      <c r="K61" s="146">
        <v>1481.3</v>
      </c>
      <c r="L61" s="128">
        <f t="shared" si="0"/>
        <v>-1.3880105182571767E-2</v>
      </c>
      <c r="N61" s="148">
        <f t="shared" si="9"/>
        <v>45550</v>
      </c>
      <c r="O61">
        <v>348.1</v>
      </c>
      <c r="P61" s="128">
        <f t="shared" si="1"/>
        <v>-7.9794813337131787E-3</v>
      </c>
      <c r="R61" s="148">
        <f t="shared" si="10"/>
        <v>45550</v>
      </c>
      <c r="S61">
        <v>141.28</v>
      </c>
      <c r="T61" s="128">
        <f t="shared" si="2"/>
        <v>-2.4646185709354507E-2</v>
      </c>
      <c r="V61" s="148">
        <f t="shared" si="11"/>
        <v>45550</v>
      </c>
      <c r="W61">
        <v>302.14999999999998</v>
      </c>
      <c r="X61" s="128">
        <f t="shared" si="3"/>
        <v>-2.9704560051380891E-2</v>
      </c>
      <c r="Z61" s="148">
        <f t="shared" si="12"/>
        <v>45550</v>
      </c>
      <c r="AA61" s="146">
        <v>25790.95</v>
      </c>
      <c r="AB61" s="128">
        <f t="shared" si="13"/>
        <v>1.7133673811448702E-2</v>
      </c>
    </row>
    <row r="62" spans="2:28" x14ac:dyDescent="0.35">
      <c r="B62" s="148">
        <f t="shared" si="4"/>
        <v>45557</v>
      </c>
      <c r="C62" s="146">
        <v>3310.75</v>
      </c>
      <c r="D62" s="128">
        <f t="shared" si="5"/>
        <v>1.1490950876185124E-3</v>
      </c>
      <c r="F62" s="148">
        <f t="shared" si="6"/>
        <v>45557</v>
      </c>
      <c r="G62">
        <v>618.35</v>
      </c>
      <c r="H62" s="128">
        <f t="shared" si="7"/>
        <v>-7.0654355680449532E-3</v>
      </c>
      <c r="J62" s="148">
        <f t="shared" si="8"/>
        <v>45557</v>
      </c>
      <c r="K62" s="146">
        <v>1471.5</v>
      </c>
      <c r="L62" s="128">
        <f t="shared" si="0"/>
        <v>-6.615810436778502E-3</v>
      </c>
      <c r="N62" s="148">
        <f t="shared" si="9"/>
        <v>45557</v>
      </c>
      <c r="O62">
        <v>342.55</v>
      </c>
      <c r="P62" s="128">
        <f t="shared" si="1"/>
        <v>-1.5943694340706749E-2</v>
      </c>
      <c r="R62" s="148">
        <f t="shared" si="10"/>
        <v>45557</v>
      </c>
      <c r="S62">
        <v>138.78</v>
      </c>
      <c r="T62" s="128">
        <f t="shared" si="2"/>
        <v>-1.7695356738391843E-2</v>
      </c>
      <c r="V62" s="148">
        <f t="shared" si="11"/>
        <v>45557</v>
      </c>
      <c r="W62">
        <v>309.35000000000002</v>
      </c>
      <c r="X62" s="128">
        <f t="shared" si="3"/>
        <v>2.3829223895416307E-2</v>
      </c>
      <c r="Z62" s="148">
        <f t="shared" si="12"/>
        <v>45557</v>
      </c>
      <c r="AA62" s="146">
        <v>26178.95</v>
      </c>
      <c r="AB62" s="128">
        <f t="shared" si="13"/>
        <v>1.5044036764834123E-2</v>
      </c>
    </row>
    <row r="63" spans="2:28" x14ac:dyDescent="0.35">
      <c r="B63" s="148">
        <f t="shared" si="4"/>
        <v>45564</v>
      </c>
      <c r="C63" s="146">
        <v>3072.5</v>
      </c>
      <c r="D63" s="128">
        <f t="shared" si="5"/>
        <v>-7.1962546250849524E-2</v>
      </c>
      <c r="F63" s="148">
        <f t="shared" si="6"/>
        <v>45564</v>
      </c>
      <c r="G63">
        <v>577.1</v>
      </c>
      <c r="H63" s="128">
        <f t="shared" si="7"/>
        <v>-6.6709792188889838E-2</v>
      </c>
      <c r="J63" s="148">
        <f t="shared" si="8"/>
        <v>45564</v>
      </c>
      <c r="K63" s="146">
        <v>1460.45</v>
      </c>
      <c r="L63" s="128">
        <f t="shared" si="0"/>
        <v>-7.5093442065918836E-3</v>
      </c>
      <c r="N63" s="148">
        <f t="shared" si="9"/>
        <v>45564</v>
      </c>
      <c r="O63">
        <v>333.85</v>
      </c>
      <c r="P63" s="128">
        <f t="shared" si="1"/>
        <v>-2.5397752152970354E-2</v>
      </c>
      <c r="R63" s="148">
        <f t="shared" si="10"/>
        <v>45564</v>
      </c>
      <c r="S63">
        <v>133.78</v>
      </c>
      <c r="T63" s="128">
        <f t="shared" si="2"/>
        <v>-3.6028246144977683E-2</v>
      </c>
      <c r="V63" s="148">
        <f t="shared" si="11"/>
        <v>45564</v>
      </c>
      <c r="W63">
        <v>292.10000000000002</v>
      </c>
      <c r="X63" s="128">
        <f t="shared" si="3"/>
        <v>-5.5762081784386575E-2</v>
      </c>
      <c r="Z63" s="148">
        <f t="shared" si="12"/>
        <v>45564</v>
      </c>
      <c r="AA63" s="146">
        <v>25014.6</v>
      </c>
      <c r="AB63" s="128">
        <f t="shared" si="13"/>
        <v>-4.4476573735768743E-2</v>
      </c>
    </row>
    <row r="64" spans="2:28" x14ac:dyDescent="0.35">
      <c r="B64" s="148">
        <f t="shared" si="4"/>
        <v>45571</v>
      </c>
      <c r="C64" s="146">
        <v>3037.2</v>
      </c>
      <c r="D64" s="128">
        <f t="shared" si="5"/>
        <v>-1.1489015459723362E-2</v>
      </c>
      <c r="F64" s="148">
        <f t="shared" si="6"/>
        <v>45571</v>
      </c>
      <c r="G64">
        <v>571.75</v>
      </c>
      <c r="H64" s="128">
        <f t="shared" si="7"/>
        <v>-9.270490382949248E-3</v>
      </c>
      <c r="J64" s="148">
        <f t="shared" si="8"/>
        <v>45571</v>
      </c>
      <c r="K64" s="146">
        <v>1481.9</v>
      </c>
      <c r="L64" s="128">
        <f t="shared" si="0"/>
        <v>1.468725392858361E-2</v>
      </c>
      <c r="N64" s="148">
        <f t="shared" si="9"/>
        <v>45571</v>
      </c>
      <c r="O64">
        <v>332.2</v>
      </c>
      <c r="P64" s="128">
        <f t="shared" si="1"/>
        <v>-4.9423393739704835E-3</v>
      </c>
      <c r="R64" s="148">
        <f t="shared" si="10"/>
        <v>45571</v>
      </c>
      <c r="S64">
        <v>130.32</v>
      </c>
      <c r="T64" s="128">
        <f t="shared" si="2"/>
        <v>-2.5863357751532479E-2</v>
      </c>
      <c r="V64" s="148">
        <f t="shared" si="11"/>
        <v>45571</v>
      </c>
      <c r="W64">
        <v>288.75</v>
      </c>
      <c r="X64" s="128">
        <f t="shared" si="3"/>
        <v>-1.1468675111263371E-2</v>
      </c>
      <c r="Z64" s="148">
        <f t="shared" si="12"/>
        <v>45571</v>
      </c>
      <c r="AA64" s="146">
        <v>24964.25</v>
      </c>
      <c r="AB64" s="128">
        <f t="shared" si="13"/>
        <v>-2.0128245104857889E-3</v>
      </c>
    </row>
    <row r="65" spans="2:28" x14ac:dyDescent="0.35">
      <c r="B65" s="148">
        <f t="shared" si="4"/>
        <v>45578</v>
      </c>
      <c r="C65" s="146">
        <v>2992.15</v>
      </c>
      <c r="D65" s="128">
        <f t="shared" si="5"/>
        <v>-1.4832740682207191E-2</v>
      </c>
      <c r="F65" s="148">
        <f t="shared" si="6"/>
        <v>45578</v>
      </c>
      <c r="G65">
        <v>556.54999999999995</v>
      </c>
      <c r="H65" s="128">
        <f t="shared" si="7"/>
        <v>-2.6585045911674765E-2</v>
      </c>
      <c r="J65" s="148">
        <f t="shared" si="8"/>
        <v>45578</v>
      </c>
      <c r="K65" s="146">
        <v>1566.9</v>
      </c>
      <c r="L65" s="128">
        <f t="shared" si="0"/>
        <v>5.7358796140090318E-2</v>
      </c>
      <c r="N65" s="148">
        <f t="shared" si="9"/>
        <v>45578</v>
      </c>
      <c r="O65">
        <v>326.75</v>
      </c>
      <c r="P65" s="128">
        <f t="shared" si="1"/>
        <v>-1.6405779650812691E-2</v>
      </c>
      <c r="R65" s="148">
        <f t="shared" si="10"/>
        <v>45578</v>
      </c>
      <c r="S65">
        <v>128.08000000000001</v>
      </c>
      <c r="T65" s="128">
        <f t="shared" si="2"/>
        <v>-1.7188459177409299E-2</v>
      </c>
      <c r="V65" s="148">
        <f t="shared" si="11"/>
        <v>45578</v>
      </c>
      <c r="W65">
        <v>287.05</v>
      </c>
      <c r="X65" s="128">
        <f t="shared" si="3"/>
        <v>-5.8874458874458302E-3</v>
      </c>
      <c r="Z65" s="148">
        <f t="shared" si="12"/>
        <v>45578</v>
      </c>
      <c r="AA65" s="146">
        <v>24854.05</v>
      </c>
      <c r="AB65" s="128">
        <f t="shared" si="13"/>
        <v>-4.4143124668275524E-3</v>
      </c>
    </row>
    <row r="66" spans="2:28" x14ac:dyDescent="0.35">
      <c r="B66" s="148">
        <f t="shared" si="4"/>
        <v>45585</v>
      </c>
      <c r="C66" s="146">
        <v>2958</v>
      </c>
      <c r="D66" s="128">
        <f t="shared" si="5"/>
        <v>-1.1413197867753966E-2</v>
      </c>
      <c r="F66" s="148">
        <f t="shared" si="6"/>
        <v>45585</v>
      </c>
      <c r="G66">
        <v>537.54999999999995</v>
      </c>
      <c r="H66" s="128">
        <f t="shared" si="7"/>
        <v>-3.4138891384421832E-2</v>
      </c>
      <c r="J66" s="148">
        <f t="shared" si="8"/>
        <v>45585</v>
      </c>
      <c r="K66" s="146">
        <v>1601.45</v>
      </c>
      <c r="L66" s="128">
        <f t="shared" si="0"/>
        <v>2.2049907460590878E-2</v>
      </c>
      <c r="N66" s="148">
        <f t="shared" si="9"/>
        <v>45585</v>
      </c>
      <c r="O66">
        <v>301.5</v>
      </c>
      <c r="P66" s="128">
        <f t="shared" si="1"/>
        <v>-7.7276205049732205E-2</v>
      </c>
      <c r="R66" s="148">
        <f t="shared" si="10"/>
        <v>45585</v>
      </c>
      <c r="S66">
        <v>112.22</v>
      </c>
      <c r="T66" s="128">
        <f t="shared" si="2"/>
        <v>-0.12382885696439738</v>
      </c>
      <c r="V66" s="148">
        <f t="shared" si="11"/>
        <v>45585</v>
      </c>
      <c r="W66">
        <v>279.14999999999998</v>
      </c>
      <c r="X66" s="128">
        <f t="shared" si="3"/>
        <v>-2.7521337746037378E-2</v>
      </c>
      <c r="Z66" s="148">
        <f t="shared" si="12"/>
        <v>45585</v>
      </c>
      <c r="AA66" s="146">
        <v>24180.799999999999</v>
      </c>
      <c r="AB66" s="128">
        <f t="shared" si="13"/>
        <v>-2.7088140564616281E-2</v>
      </c>
    </row>
    <row r="67" spans="2:28" x14ac:dyDescent="0.35">
      <c r="B67" s="148">
        <f t="shared" si="4"/>
        <v>45592</v>
      </c>
      <c r="C67" s="146">
        <v>2939.85</v>
      </c>
      <c r="D67" s="128">
        <f t="shared" si="5"/>
        <v>-6.135902636916879E-3</v>
      </c>
      <c r="F67" s="148">
        <f t="shared" si="6"/>
        <v>45592</v>
      </c>
      <c r="G67">
        <v>531.6</v>
      </c>
      <c r="H67" s="128">
        <f t="shared" si="7"/>
        <v>-1.106873779183315E-2</v>
      </c>
      <c r="J67" s="148">
        <f t="shared" si="8"/>
        <v>45592</v>
      </c>
      <c r="K67" s="146">
        <v>1676.35</v>
      </c>
      <c r="L67" s="128">
        <f t="shared" si="0"/>
        <v>4.677011458365854E-2</v>
      </c>
      <c r="N67" s="148">
        <f t="shared" si="9"/>
        <v>45592</v>
      </c>
      <c r="O67">
        <v>341.2</v>
      </c>
      <c r="P67" s="128">
        <f t="shared" si="1"/>
        <v>0.13167495854063005</v>
      </c>
      <c r="R67" s="148">
        <f t="shared" si="10"/>
        <v>45592</v>
      </c>
      <c r="S67">
        <v>116.67</v>
      </c>
      <c r="T67" s="128">
        <f t="shared" si="2"/>
        <v>3.9654250579219452E-2</v>
      </c>
      <c r="V67" s="148">
        <f t="shared" si="11"/>
        <v>45592</v>
      </c>
      <c r="W67">
        <v>287</v>
      </c>
      <c r="X67" s="128">
        <f t="shared" si="3"/>
        <v>2.8121081855633223E-2</v>
      </c>
      <c r="Z67" s="148">
        <f t="shared" si="12"/>
        <v>45592</v>
      </c>
      <c r="AA67" s="146">
        <v>24304.35</v>
      </c>
      <c r="AB67" s="128">
        <f t="shared" si="13"/>
        <v>5.1094256600276999E-3</v>
      </c>
    </row>
    <row r="68" spans="2:28" x14ac:dyDescent="0.35">
      <c r="B68" s="148">
        <f t="shared" si="4"/>
        <v>45599</v>
      </c>
      <c r="C68" s="146">
        <v>2769.45</v>
      </c>
      <c r="D68" s="128">
        <f t="shared" si="5"/>
        <v>-5.7962140925557404E-2</v>
      </c>
      <c r="F68" s="148">
        <f t="shared" si="6"/>
        <v>45599</v>
      </c>
      <c r="G68">
        <v>504.05</v>
      </c>
      <c r="H68" s="128">
        <f t="shared" si="7"/>
        <v>-5.1824680210684759E-2</v>
      </c>
      <c r="J68" s="148">
        <f t="shared" si="8"/>
        <v>45599</v>
      </c>
      <c r="K68" s="146">
        <v>1534.45</v>
      </c>
      <c r="L68" s="128">
        <f t="shared" si="0"/>
        <v>-8.4648193992901133E-2</v>
      </c>
      <c r="N68" s="148">
        <f t="shared" si="9"/>
        <v>45599</v>
      </c>
      <c r="O68">
        <v>362.6</v>
      </c>
      <c r="P68" s="128">
        <f t="shared" si="1"/>
        <v>6.2719812426729193E-2</v>
      </c>
      <c r="R68" s="148">
        <f t="shared" si="10"/>
        <v>45599</v>
      </c>
      <c r="S68">
        <v>114.93</v>
      </c>
      <c r="T68" s="128">
        <f t="shared" si="2"/>
        <v>-1.4913859604011259E-2</v>
      </c>
      <c r="V68" s="148">
        <f t="shared" si="11"/>
        <v>45599</v>
      </c>
      <c r="W68">
        <v>271.14999999999998</v>
      </c>
      <c r="X68" s="128">
        <f t="shared" si="3"/>
        <v>-5.5226480836237046E-2</v>
      </c>
      <c r="Z68" s="148">
        <f t="shared" si="12"/>
        <v>45599</v>
      </c>
      <c r="AA68" s="146">
        <v>24148.2</v>
      </c>
      <c r="AB68" s="128">
        <f t="shared" si="13"/>
        <v>-6.4247758117372822E-3</v>
      </c>
    </row>
    <row r="69" spans="2:28" x14ac:dyDescent="0.35">
      <c r="B69" s="148">
        <f t="shared" si="4"/>
        <v>45606</v>
      </c>
      <c r="C69" s="146">
        <v>2483.15</v>
      </c>
      <c r="D69" s="128">
        <f t="shared" si="5"/>
        <v>-0.10337792702522153</v>
      </c>
      <c r="F69" s="148">
        <f t="shared" si="6"/>
        <v>45606</v>
      </c>
      <c r="G69">
        <v>492.1</v>
      </c>
      <c r="H69" s="128">
        <f t="shared" si="7"/>
        <v>-2.3707965479615067E-2</v>
      </c>
      <c r="J69" s="148">
        <f t="shared" si="8"/>
        <v>45606</v>
      </c>
      <c r="K69" s="146">
        <v>1500.15</v>
      </c>
      <c r="L69" s="128">
        <f t="shared" si="0"/>
        <v>-2.235328619375021E-2</v>
      </c>
      <c r="N69" s="148">
        <f t="shared" si="9"/>
        <v>45606</v>
      </c>
      <c r="O69">
        <v>339.6</v>
      </c>
      <c r="P69" s="128">
        <f t="shared" si="1"/>
        <v>-6.3430777716491971E-2</v>
      </c>
      <c r="R69" s="148">
        <f t="shared" si="10"/>
        <v>45606</v>
      </c>
      <c r="S69">
        <v>104.7</v>
      </c>
      <c r="T69" s="128">
        <f t="shared" si="2"/>
        <v>-8.9010702166536171E-2</v>
      </c>
      <c r="V69" s="148">
        <f t="shared" si="11"/>
        <v>45606</v>
      </c>
      <c r="W69">
        <v>259.25</v>
      </c>
      <c r="X69" s="128">
        <f t="shared" si="3"/>
        <v>-4.3887147335423093E-2</v>
      </c>
      <c r="Z69" s="148">
        <f t="shared" si="12"/>
        <v>45606</v>
      </c>
      <c r="AA69" s="146">
        <v>23532.7</v>
      </c>
      <c r="AB69" s="128">
        <f t="shared" si="13"/>
        <v>-2.5488442202731498E-2</v>
      </c>
    </row>
    <row r="70" spans="2:28" x14ac:dyDescent="0.35">
      <c r="B70" s="148">
        <f t="shared" si="4"/>
        <v>45613</v>
      </c>
      <c r="C70" s="146">
        <v>2472.1999999999998</v>
      </c>
      <c r="D70" s="128">
        <f t="shared" si="5"/>
        <v>-4.4097215230656239E-3</v>
      </c>
      <c r="F70" s="148">
        <f t="shared" si="6"/>
        <v>45613</v>
      </c>
      <c r="G70">
        <v>475.65</v>
      </c>
      <c r="H70" s="128">
        <f t="shared" si="7"/>
        <v>-3.3428165007112431E-2</v>
      </c>
      <c r="J70" s="148">
        <f t="shared" si="8"/>
        <v>45613</v>
      </c>
      <c r="K70" s="146">
        <v>1502.8</v>
      </c>
      <c r="L70" s="128">
        <f t="shared" si="0"/>
        <v>1.7664900176648235E-3</v>
      </c>
      <c r="N70" s="148">
        <f t="shared" si="9"/>
        <v>45613</v>
      </c>
      <c r="O70">
        <v>315.35000000000002</v>
      </c>
      <c r="P70" s="128">
        <f t="shared" si="1"/>
        <v>-7.1407538280329752E-2</v>
      </c>
      <c r="R70" s="148">
        <f t="shared" si="10"/>
        <v>45613</v>
      </c>
      <c r="S70">
        <v>100.42</v>
      </c>
      <c r="T70" s="128">
        <f t="shared" si="2"/>
        <v>-4.0878701050620858E-2</v>
      </c>
      <c r="V70" s="148">
        <f t="shared" si="11"/>
        <v>45613</v>
      </c>
      <c r="W70">
        <v>267.25</v>
      </c>
      <c r="X70" s="128">
        <f t="shared" si="3"/>
        <v>3.0858244937319146E-2</v>
      </c>
      <c r="Z70" s="148">
        <f t="shared" si="12"/>
        <v>45613</v>
      </c>
      <c r="AA70" s="146">
        <v>23907.25</v>
      </c>
      <c r="AB70" s="128">
        <f t="shared" si="13"/>
        <v>1.5916150717937061E-2</v>
      </c>
    </row>
    <row r="71" spans="2:28" x14ac:dyDescent="0.35">
      <c r="B71" s="148">
        <f t="shared" si="4"/>
        <v>45620</v>
      </c>
      <c r="C71" s="146">
        <v>2479.6</v>
      </c>
      <c r="D71" s="128">
        <f t="shared" si="5"/>
        <v>2.9932853329019959E-3</v>
      </c>
      <c r="F71" s="148">
        <f t="shared" si="6"/>
        <v>45620</v>
      </c>
      <c r="G71">
        <v>493.85</v>
      </c>
      <c r="H71" s="128">
        <f t="shared" si="7"/>
        <v>3.8263428991905934E-2</v>
      </c>
      <c r="J71" s="148">
        <f t="shared" si="8"/>
        <v>45620</v>
      </c>
      <c r="K71" s="146">
        <v>1433.55</v>
      </c>
      <c r="L71" s="128">
        <f t="shared" si="0"/>
        <v>-4.6080649454351863E-2</v>
      </c>
      <c r="N71" s="148">
        <f t="shared" si="9"/>
        <v>45620</v>
      </c>
      <c r="O71">
        <v>338.3</v>
      </c>
      <c r="P71" s="128">
        <f t="shared" si="1"/>
        <v>7.2776280323450182E-2</v>
      </c>
      <c r="R71" s="148">
        <f t="shared" si="10"/>
        <v>45620</v>
      </c>
      <c r="S71">
        <v>107.16</v>
      </c>
      <c r="T71" s="128">
        <f t="shared" si="2"/>
        <v>6.7118103963353937E-2</v>
      </c>
      <c r="V71" s="148">
        <f t="shared" si="11"/>
        <v>45620</v>
      </c>
      <c r="W71">
        <v>280.95</v>
      </c>
      <c r="X71" s="128">
        <f t="shared" si="3"/>
        <v>5.1262862488306693E-2</v>
      </c>
      <c r="Z71" s="148">
        <f t="shared" si="12"/>
        <v>45620</v>
      </c>
      <c r="AA71" s="146">
        <v>24131.1</v>
      </c>
      <c r="AB71" s="128">
        <f t="shared" si="13"/>
        <v>9.3632684645870157E-3</v>
      </c>
    </row>
    <row r="72" spans="2:28" x14ac:dyDescent="0.35">
      <c r="B72" s="148">
        <f t="shared" si="4"/>
        <v>45627</v>
      </c>
      <c r="C72" s="146">
        <v>2429.6999999999998</v>
      </c>
      <c r="D72" s="128">
        <f t="shared" si="5"/>
        <v>-2.0124213582836004E-2</v>
      </c>
      <c r="F72" s="148">
        <f t="shared" si="6"/>
        <v>45627</v>
      </c>
      <c r="G72">
        <v>480.6</v>
      </c>
      <c r="H72" s="128">
        <f t="shared" si="7"/>
        <v>-2.6830009112078557E-2</v>
      </c>
      <c r="J72" s="148">
        <f t="shared" si="8"/>
        <v>45627</v>
      </c>
      <c r="K72" s="146">
        <v>1433.9</v>
      </c>
      <c r="L72" s="128">
        <f t="shared" si="0"/>
        <v>2.4414914024628587E-4</v>
      </c>
      <c r="N72" s="148">
        <f t="shared" si="9"/>
        <v>45627</v>
      </c>
      <c r="O72">
        <v>340.45</v>
      </c>
      <c r="P72" s="128">
        <f t="shared" si="1"/>
        <v>6.3553059414720448E-3</v>
      </c>
      <c r="R72" s="148">
        <f t="shared" si="10"/>
        <v>45627</v>
      </c>
      <c r="S72">
        <v>114.15</v>
      </c>
      <c r="T72" s="128">
        <f t="shared" si="2"/>
        <v>6.5229563269876945E-2</v>
      </c>
      <c r="V72" s="148">
        <f t="shared" si="11"/>
        <v>45627</v>
      </c>
      <c r="W72">
        <v>277.85000000000002</v>
      </c>
      <c r="X72" s="128">
        <f t="shared" si="3"/>
        <v>-1.1033991813489852E-2</v>
      </c>
      <c r="Z72" s="148">
        <f t="shared" si="12"/>
        <v>45627</v>
      </c>
      <c r="AA72" s="146">
        <v>24677.8</v>
      </c>
      <c r="AB72" s="128">
        <f t="shared" si="13"/>
        <v>2.2655411481449228E-2</v>
      </c>
    </row>
    <row r="73" spans="2:28" x14ac:dyDescent="0.35">
      <c r="B73" s="148">
        <f t="shared" si="4"/>
        <v>45634</v>
      </c>
      <c r="C73" s="146">
        <v>2407.65</v>
      </c>
      <c r="D73" s="128">
        <f t="shared" si="5"/>
        <v>-9.0751944684527297E-3</v>
      </c>
      <c r="F73" s="148">
        <f t="shared" si="6"/>
        <v>45634</v>
      </c>
      <c r="G73">
        <v>475.1</v>
      </c>
      <c r="H73" s="128">
        <f t="shared" si="7"/>
        <v>-1.1444028297960873E-2</v>
      </c>
      <c r="J73" s="148">
        <f t="shared" si="8"/>
        <v>45634</v>
      </c>
      <c r="K73" s="146">
        <v>1430.45</v>
      </c>
      <c r="L73" s="128">
        <f t="shared" ref="L73:L111" si="14">K73/K72-1</f>
        <v>-2.4060255247925211E-3</v>
      </c>
      <c r="N73" s="148">
        <f t="shared" si="9"/>
        <v>45634</v>
      </c>
      <c r="O73">
        <v>346.25</v>
      </c>
      <c r="P73" s="128">
        <f t="shared" ref="P73:P111" si="15">O73/O72-1</f>
        <v>1.7036275517697153E-2</v>
      </c>
      <c r="R73" s="148">
        <f t="shared" si="10"/>
        <v>45634</v>
      </c>
      <c r="S73">
        <v>116.68</v>
      </c>
      <c r="T73" s="128">
        <f t="shared" ref="T73:T111" si="16">S73/S72-1</f>
        <v>2.216381953569857E-2</v>
      </c>
      <c r="V73" s="148">
        <f t="shared" si="11"/>
        <v>45634</v>
      </c>
      <c r="W73">
        <v>262.7</v>
      </c>
      <c r="X73" s="128">
        <f t="shared" ref="X73:X111" si="17">W73/W72-1</f>
        <v>-5.4525823285945796E-2</v>
      </c>
      <c r="Z73" s="148">
        <f t="shared" si="12"/>
        <v>45634</v>
      </c>
      <c r="AA73" s="146">
        <v>24768.3</v>
      </c>
      <c r="AB73" s="128">
        <f t="shared" si="13"/>
        <v>3.6672636944945491E-3</v>
      </c>
    </row>
    <row r="74" spans="2:28" x14ac:dyDescent="0.35">
      <c r="B74" s="148">
        <f t="shared" ref="B74:B111" si="18">B73+7</f>
        <v>45641</v>
      </c>
      <c r="C74" s="146">
        <v>2282.35</v>
      </c>
      <c r="D74" s="128">
        <f t="shared" ref="D74:D111" si="19">C74/C73-1</f>
        <v>-5.2042448030237054E-2</v>
      </c>
      <c r="F74" s="148">
        <f t="shared" ref="F74:F111" si="20">F73+7</f>
        <v>45641</v>
      </c>
      <c r="G74">
        <v>444.8</v>
      </c>
      <c r="H74" s="128">
        <f t="shared" ref="H74:H111" si="21">G74/G73-1</f>
        <v>-6.3776047147968917E-2</v>
      </c>
      <c r="J74" s="148">
        <f t="shared" ref="J74:J111" si="22">J73+7</f>
        <v>45641</v>
      </c>
      <c r="K74" s="146">
        <v>1408.95</v>
      </c>
      <c r="L74" s="128">
        <f t="shared" si="14"/>
        <v>-1.5030235240658496E-2</v>
      </c>
      <c r="N74" s="148">
        <f t="shared" ref="N74:N111" si="23">N73+7</f>
        <v>45641</v>
      </c>
      <c r="O74">
        <v>325.14999999999998</v>
      </c>
      <c r="P74" s="128">
        <f t="shared" si="15"/>
        <v>-6.0938628158844876E-2</v>
      </c>
      <c r="R74" s="148">
        <f t="shared" ref="R74:R111" si="24">R73+7</f>
        <v>45641</v>
      </c>
      <c r="S74">
        <v>124.83</v>
      </c>
      <c r="T74" s="128">
        <f t="shared" si="16"/>
        <v>6.984916009598896E-2</v>
      </c>
      <c r="V74" s="148">
        <f t="shared" ref="V74:V111" si="25">V73+7</f>
        <v>45641</v>
      </c>
      <c r="W74">
        <v>262.2</v>
      </c>
      <c r="X74" s="128">
        <f t="shared" si="17"/>
        <v>-1.9033117624667195E-3</v>
      </c>
      <c r="Z74" s="148">
        <f t="shared" ref="Z74:Z111" si="26">Z73+7</f>
        <v>45641</v>
      </c>
      <c r="AA74" s="146">
        <v>23587.5</v>
      </c>
      <c r="AB74" s="128">
        <f t="shared" ref="AB74:AB111" si="27">AA74/AA73-1</f>
        <v>-4.7673841159869612E-2</v>
      </c>
    </row>
    <row r="75" spans="2:28" x14ac:dyDescent="0.35">
      <c r="B75" s="148">
        <f t="shared" si="18"/>
        <v>45648</v>
      </c>
      <c r="C75" s="146">
        <v>2271.4</v>
      </c>
      <c r="D75" s="128">
        <f t="shared" si="19"/>
        <v>-4.7976865949568293E-3</v>
      </c>
      <c r="F75" s="148">
        <f t="shared" si="20"/>
        <v>45648</v>
      </c>
      <c r="G75">
        <v>442.4</v>
      </c>
      <c r="H75" s="128">
        <f t="shared" si="21"/>
        <v>-5.3956834532374875E-3</v>
      </c>
      <c r="J75" s="148">
        <f t="shared" si="22"/>
        <v>45648</v>
      </c>
      <c r="K75" s="146">
        <v>1333.9</v>
      </c>
      <c r="L75" s="128">
        <f t="shared" si="14"/>
        <v>-5.3266616984279036E-2</v>
      </c>
      <c r="N75" s="148">
        <f t="shared" si="23"/>
        <v>45648</v>
      </c>
      <c r="O75">
        <v>338.7</v>
      </c>
      <c r="P75" s="128">
        <f t="shared" si="15"/>
        <v>4.1673073965861951E-2</v>
      </c>
      <c r="R75" s="148">
        <f t="shared" si="24"/>
        <v>45648</v>
      </c>
      <c r="S75">
        <v>128.44</v>
      </c>
      <c r="T75" s="128">
        <f t="shared" si="16"/>
        <v>2.8919330289193246E-2</v>
      </c>
      <c r="V75" s="148">
        <f t="shared" si="25"/>
        <v>45648</v>
      </c>
      <c r="W75">
        <v>261.3</v>
      </c>
      <c r="X75" s="128">
        <f t="shared" si="17"/>
        <v>-3.4324942791761348E-3</v>
      </c>
      <c r="Z75" s="148">
        <f t="shared" si="26"/>
        <v>45648</v>
      </c>
      <c r="AA75" s="146">
        <v>23813.4</v>
      </c>
      <c r="AB75" s="128">
        <f t="shared" si="27"/>
        <v>9.5771065182830295E-3</v>
      </c>
    </row>
    <row r="76" spans="2:28" x14ac:dyDescent="0.35">
      <c r="B76" s="148">
        <f t="shared" si="18"/>
        <v>45655</v>
      </c>
      <c r="C76" s="146">
        <v>2335.9499999999998</v>
      </c>
      <c r="D76" s="128">
        <f t="shared" si="19"/>
        <v>2.8418596460332735E-2</v>
      </c>
      <c r="F76" s="148">
        <f t="shared" si="20"/>
        <v>45655</v>
      </c>
      <c r="G76">
        <v>457.75</v>
      </c>
      <c r="H76" s="128">
        <f t="shared" si="21"/>
        <v>3.4697106690777524E-2</v>
      </c>
      <c r="J76" s="148">
        <f t="shared" si="22"/>
        <v>45655</v>
      </c>
      <c r="K76" s="146">
        <v>1395.75</v>
      </c>
      <c r="L76" s="128">
        <f t="shared" si="14"/>
        <v>4.6367793687682735E-2</v>
      </c>
      <c r="N76" s="148">
        <f t="shared" si="23"/>
        <v>45655</v>
      </c>
      <c r="O76">
        <v>332.2</v>
      </c>
      <c r="P76" s="128">
        <f t="shared" si="15"/>
        <v>-1.9191024505462062E-2</v>
      </c>
      <c r="R76" s="148">
        <f t="shared" si="24"/>
        <v>45655</v>
      </c>
      <c r="S76">
        <v>128.88999999999999</v>
      </c>
      <c r="T76" s="128">
        <f t="shared" si="16"/>
        <v>3.5035814388040265E-3</v>
      </c>
      <c r="V76" s="148">
        <f t="shared" si="25"/>
        <v>45655</v>
      </c>
      <c r="W76">
        <v>261.89999999999998</v>
      </c>
      <c r="X76" s="128">
        <f t="shared" si="17"/>
        <v>2.2962112514350874E-3</v>
      </c>
      <c r="Z76" s="148">
        <f t="shared" si="26"/>
        <v>45655</v>
      </c>
      <c r="AA76" s="146">
        <v>24004.75</v>
      </c>
      <c r="AB76" s="128">
        <f t="shared" si="27"/>
        <v>8.035391838208783E-3</v>
      </c>
    </row>
    <row r="77" spans="2:28" x14ac:dyDescent="0.35">
      <c r="B77" s="148">
        <f t="shared" si="18"/>
        <v>45662</v>
      </c>
      <c r="C77" s="146">
        <v>2320.75</v>
      </c>
      <c r="D77" s="128">
        <f t="shared" si="19"/>
        <v>-6.5069885913653369E-3</v>
      </c>
      <c r="F77" s="148">
        <f t="shared" si="20"/>
        <v>45662</v>
      </c>
      <c r="G77">
        <v>460.3</v>
      </c>
      <c r="H77" s="128">
        <f t="shared" si="21"/>
        <v>5.5707263790278905E-3</v>
      </c>
      <c r="J77" s="148">
        <f t="shared" si="22"/>
        <v>45662</v>
      </c>
      <c r="K77" s="146">
        <v>1287.8</v>
      </c>
      <c r="L77" s="128">
        <f t="shared" si="14"/>
        <v>-7.734193086154395E-2</v>
      </c>
      <c r="N77" s="148">
        <f t="shared" si="23"/>
        <v>45662</v>
      </c>
      <c r="O77">
        <v>305</v>
      </c>
      <c r="P77" s="128">
        <f t="shared" si="15"/>
        <v>-8.1878386514148027E-2</v>
      </c>
      <c r="R77" s="148">
        <f t="shared" si="24"/>
        <v>45662</v>
      </c>
      <c r="S77">
        <v>130.24</v>
      </c>
      <c r="T77" s="128">
        <f t="shared" si="16"/>
        <v>1.0474047637520467E-2</v>
      </c>
      <c r="V77" s="148">
        <f t="shared" si="25"/>
        <v>45662</v>
      </c>
      <c r="W77">
        <v>253.8</v>
      </c>
      <c r="X77" s="128">
        <f t="shared" si="17"/>
        <v>-3.0927835051546282E-2</v>
      </c>
      <c r="Z77" s="148">
        <f t="shared" si="26"/>
        <v>45662</v>
      </c>
      <c r="AA77" s="146">
        <v>23431.5</v>
      </c>
      <c r="AB77" s="128">
        <f t="shared" si="27"/>
        <v>-2.3880690280048689E-2</v>
      </c>
    </row>
    <row r="78" spans="2:28" x14ac:dyDescent="0.35">
      <c r="B78" s="148">
        <f t="shared" si="18"/>
        <v>45669</v>
      </c>
      <c r="C78" s="146">
        <v>2261</v>
      </c>
      <c r="D78" s="128">
        <f t="shared" si="19"/>
        <v>-2.5745987288592009E-2</v>
      </c>
      <c r="F78" s="148">
        <f t="shared" si="20"/>
        <v>45669</v>
      </c>
      <c r="G78">
        <v>468.5</v>
      </c>
      <c r="H78" s="128">
        <f t="shared" si="21"/>
        <v>1.7814468824679519E-2</v>
      </c>
      <c r="J78" s="148">
        <f t="shared" si="22"/>
        <v>45669</v>
      </c>
      <c r="K78" s="146">
        <v>1228.3</v>
      </c>
      <c r="L78" s="128">
        <f t="shared" si="14"/>
        <v>-4.6202826525858054E-2</v>
      </c>
      <c r="N78" s="148">
        <f t="shared" si="23"/>
        <v>45669</v>
      </c>
      <c r="O78">
        <v>321.5</v>
      </c>
      <c r="P78" s="128">
        <f t="shared" si="15"/>
        <v>5.4098360655737698E-2</v>
      </c>
      <c r="R78" s="148">
        <f t="shared" si="24"/>
        <v>45669</v>
      </c>
      <c r="S78">
        <v>132.51</v>
      </c>
      <c r="T78" s="128">
        <f t="shared" si="16"/>
        <v>1.7429361179361003E-2</v>
      </c>
      <c r="V78" s="148">
        <f t="shared" si="25"/>
        <v>45669</v>
      </c>
      <c r="W78">
        <v>244.2</v>
      </c>
      <c r="X78" s="128">
        <f t="shared" si="17"/>
        <v>-3.7825059101654901E-2</v>
      </c>
      <c r="Z78" s="148">
        <f t="shared" si="26"/>
        <v>45669</v>
      </c>
      <c r="AA78" s="146">
        <v>23203.200000000001</v>
      </c>
      <c r="AB78" s="128">
        <f t="shared" si="27"/>
        <v>-9.7432942833365344E-3</v>
      </c>
    </row>
    <row r="79" spans="2:28" x14ac:dyDescent="0.35">
      <c r="B79" s="148">
        <f t="shared" si="18"/>
        <v>45676</v>
      </c>
      <c r="C79" s="146">
        <v>2262.4</v>
      </c>
      <c r="D79" s="128">
        <f t="shared" si="19"/>
        <v>6.1919504643959122E-4</v>
      </c>
      <c r="F79" s="148">
        <f t="shared" si="20"/>
        <v>45676</v>
      </c>
      <c r="G79">
        <v>480.05</v>
      </c>
      <c r="H79" s="128">
        <f t="shared" si="21"/>
        <v>2.4653148345784359E-2</v>
      </c>
      <c r="J79" s="148">
        <f t="shared" si="22"/>
        <v>45676</v>
      </c>
      <c r="K79" s="146">
        <v>1227.1500000000001</v>
      </c>
      <c r="L79" s="128">
        <f t="shared" si="14"/>
        <v>-9.3625335829994327E-4</v>
      </c>
      <c r="N79" s="148">
        <f t="shared" si="23"/>
        <v>45676</v>
      </c>
      <c r="O79">
        <v>309.5</v>
      </c>
      <c r="P79" s="128">
        <f t="shared" si="15"/>
        <v>-3.7325038880248851E-2</v>
      </c>
      <c r="R79" s="148">
        <f t="shared" si="24"/>
        <v>45676</v>
      </c>
      <c r="S79">
        <v>131.97999999999999</v>
      </c>
      <c r="T79" s="128">
        <f t="shared" si="16"/>
        <v>-3.999698135989771E-3</v>
      </c>
      <c r="V79" s="148">
        <f t="shared" si="25"/>
        <v>45676</v>
      </c>
      <c r="W79">
        <v>242.1</v>
      </c>
      <c r="X79" s="128">
        <f t="shared" si="17"/>
        <v>-8.5995085995085319E-3</v>
      </c>
      <c r="Z79" s="148">
        <f t="shared" si="26"/>
        <v>45676</v>
      </c>
      <c r="AA79" s="146">
        <v>23092.2</v>
      </c>
      <c r="AB79" s="128">
        <f t="shared" si="27"/>
        <v>-4.7838229209764549E-3</v>
      </c>
    </row>
    <row r="80" spans="2:28" x14ac:dyDescent="0.35">
      <c r="B80" s="148">
        <f t="shared" si="18"/>
        <v>45683</v>
      </c>
      <c r="C80" s="146">
        <v>2300.8000000000002</v>
      </c>
      <c r="D80" s="128">
        <f t="shared" si="19"/>
        <v>1.6973125884017115E-2</v>
      </c>
      <c r="F80" s="148">
        <f t="shared" si="20"/>
        <v>45683</v>
      </c>
      <c r="G80">
        <v>472.35</v>
      </c>
      <c r="H80" s="128">
        <f t="shared" si="21"/>
        <v>-1.6039995833767251E-2</v>
      </c>
      <c r="J80" s="148">
        <f t="shared" si="22"/>
        <v>45683</v>
      </c>
      <c r="K80" s="146">
        <v>1267.2</v>
      </c>
      <c r="L80" s="128">
        <f t="shared" si="14"/>
        <v>3.2636596993032674E-2</v>
      </c>
      <c r="N80" s="148">
        <f t="shared" si="23"/>
        <v>45683</v>
      </c>
      <c r="O80">
        <v>315</v>
      </c>
      <c r="P80" s="128">
        <f t="shared" si="15"/>
        <v>1.7770597738287597E-2</v>
      </c>
      <c r="R80" s="148">
        <f t="shared" si="24"/>
        <v>45683</v>
      </c>
      <c r="S80">
        <v>139.21</v>
      </c>
      <c r="T80" s="128">
        <f t="shared" si="16"/>
        <v>5.478102742839841E-2</v>
      </c>
      <c r="V80" s="148">
        <f t="shared" si="25"/>
        <v>45683</v>
      </c>
      <c r="W80">
        <v>233.1</v>
      </c>
      <c r="X80" s="128">
        <f t="shared" si="17"/>
        <v>-3.7174721189591087E-2</v>
      </c>
      <c r="Z80" s="148">
        <f t="shared" si="26"/>
        <v>45683</v>
      </c>
      <c r="AA80" s="146">
        <v>23508.400000000001</v>
      </c>
      <c r="AB80" s="128">
        <f t="shared" si="27"/>
        <v>1.8023401841314346E-2</v>
      </c>
    </row>
    <row r="81" spans="2:28" x14ac:dyDescent="0.35">
      <c r="B81" s="148">
        <f t="shared" si="18"/>
        <v>45690</v>
      </c>
      <c r="C81" s="146">
        <v>2271</v>
      </c>
      <c r="D81" s="128">
        <f t="shared" si="19"/>
        <v>-1.2952016689847135E-2</v>
      </c>
      <c r="F81" s="148">
        <f t="shared" si="20"/>
        <v>45690</v>
      </c>
      <c r="G81">
        <v>479.15</v>
      </c>
      <c r="H81" s="128">
        <f t="shared" si="21"/>
        <v>1.4396104583465519E-2</v>
      </c>
      <c r="J81" s="148">
        <f t="shared" si="22"/>
        <v>45690</v>
      </c>
      <c r="K81" s="146">
        <v>1255.2</v>
      </c>
      <c r="L81" s="128">
        <f t="shared" si="14"/>
        <v>-9.4696969696970168E-3</v>
      </c>
      <c r="N81" s="148">
        <f t="shared" si="23"/>
        <v>45690</v>
      </c>
      <c r="O81">
        <v>303.95</v>
      </c>
      <c r="P81" s="128">
        <f t="shared" si="15"/>
        <v>-3.5079365079365155E-2</v>
      </c>
      <c r="R81" s="148">
        <f t="shared" si="24"/>
        <v>45690</v>
      </c>
      <c r="S81">
        <v>135.62</v>
      </c>
      <c r="T81" s="128">
        <f t="shared" si="16"/>
        <v>-2.5788377271747764E-2</v>
      </c>
      <c r="V81" s="148">
        <f t="shared" si="25"/>
        <v>45690</v>
      </c>
      <c r="W81">
        <v>248.98</v>
      </c>
      <c r="X81" s="128">
        <f t="shared" si="17"/>
        <v>6.8125268125268201E-2</v>
      </c>
      <c r="Z81" s="148">
        <f t="shared" si="26"/>
        <v>45690</v>
      </c>
      <c r="AA81" s="146">
        <v>23559.95</v>
      </c>
      <c r="AB81" s="128">
        <f t="shared" si="27"/>
        <v>2.1928332000475947E-3</v>
      </c>
    </row>
    <row r="82" spans="2:28" x14ac:dyDescent="0.35">
      <c r="B82" s="148">
        <f t="shared" si="18"/>
        <v>45697</v>
      </c>
      <c r="C82" s="146">
        <v>2231.3000000000002</v>
      </c>
      <c r="D82" s="128">
        <f t="shared" si="19"/>
        <v>-1.7481285777190547E-2</v>
      </c>
      <c r="F82" s="148">
        <f t="shared" si="20"/>
        <v>45697</v>
      </c>
      <c r="G82">
        <v>477.8</v>
      </c>
      <c r="H82" s="128">
        <f t="shared" si="21"/>
        <v>-2.8174893039757398E-3</v>
      </c>
      <c r="J82" s="148">
        <f t="shared" si="22"/>
        <v>45697</v>
      </c>
      <c r="K82" s="146">
        <v>1085.75</v>
      </c>
      <c r="L82" s="128">
        <f t="shared" si="14"/>
        <v>-0.13499840662842577</v>
      </c>
      <c r="N82" s="148">
        <f t="shared" si="23"/>
        <v>45697</v>
      </c>
      <c r="O82">
        <v>285.75</v>
      </c>
      <c r="P82" s="128">
        <f t="shared" si="15"/>
        <v>-5.9878269452212529E-2</v>
      </c>
      <c r="R82" s="148">
        <f t="shared" si="24"/>
        <v>45697</v>
      </c>
      <c r="S82">
        <v>119.23</v>
      </c>
      <c r="T82" s="128">
        <f t="shared" si="16"/>
        <v>-0.1208523816546232</v>
      </c>
      <c r="V82" s="148">
        <f t="shared" si="25"/>
        <v>45697</v>
      </c>
      <c r="W82">
        <v>231.4</v>
      </c>
      <c r="X82" s="128">
        <f t="shared" si="17"/>
        <v>-7.0608080970358977E-2</v>
      </c>
      <c r="Z82" s="148">
        <f t="shared" si="26"/>
        <v>45697</v>
      </c>
      <c r="AA82" s="146">
        <v>22929.25</v>
      </c>
      <c r="AB82" s="128">
        <f t="shared" si="27"/>
        <v>-2.6770005878620329E-2</v>
      </c>
    </row>
    <row r="83" spans="2:28" x14ac:dyDescent="0.35">
      <c r="B83" s="148">
        <f t="shared" si="18"/>
        <v>45704</v>
      </c>
      <c r="C83" s="146">
        <v>2257.6</v>
      </c>
      <c r="D83" s="128">
        <f t="shared" si="19"/>
        <v>1.1786850714829766E-2</v>
      </c>
      <c r="F83" s="148">
        <f t="shared" si="20"/>
        <v>45704</v>
      </c>
      <c r="G83">
        <v>491.15</v>
      </c>
      <c r="H83" s="128">
        <f t="shared" si="21"/>
        <v>2.7940560904143874E-2</v>
      </c>
      <c r="J83" s="148">
        <f t="shared" si="22"/>
        <v>45704</v>
      </c>
      <c r="K83" s="146">
        <v>1078.1500000000001</v>
      </c>
      <c r="L83" s="128">
        <f t="shared" si="14"/>
        <v>-6.9997697444161844E-3</v>
      </c>
      <c r="N83" s="148">
        <f t="shared" si="23"/>
        <v>45704</v>
      </c>
      <c r="O83">
        <v>279.3</v>
      </c>
      <c r="P83" s="128">
        <f t="shared" si="15"/>
        <v>-2.2572178477690219E-2</v>
      </c>
      <c r="R83" s="148">
        <f t="shared" si="24"/>
        <v>45704</v>
      </c>
      <c r="S83">
        <v>108.02</v>
      </c>
      <c r="T83" s="128">
        <f t="shared" si="16"/>
        <v>-9.4019961419105957E-2</v>
      </c>
      <c r="V83" s="148">
        <f t="shared" si="25"/>
        <v>45704</v>
      </c>
      <c r="W83">
        <v>241.63</v>
      </c>
      <c r="X83" s="128">
        <f t="shared" si="17"/>
        <v>4.4209161624891857E-2</v>
      </c>
      <c r="Z83" s="148">
        <f t="shared" si="26"/>
        <v>45704</v>
      </c>
      <c r="AA83" s="146">
        <v>22795.9</v>
      </c>
      <c r="AB83" s="128">
        <f t="shared" si="27"/>
        <v>-5.8157157342695331E-3</v>
      </c>
    </row>
    <row r="84" spans="2:28" x14ac:dyDescent="0.35">
      <c r="B84" s="148">
        <f t="shared" si="18"/>
        <v>45711</v>
      </c>
      <c r="C84" s="146">
        <v>2179.75</v>
      </c>
      <c r="D84" s="128">
        <f t="shared" si="19"/>
        <v>-3.4483522324592397E-2</v>
      </c>
      <c r="F84" s="148">
        <f t="shared" si="20"/>
        <v>45711</v>
      </c>
      <c r="G84">
        <v>488.4</v>
      </c>
      <c r="H84" s="128">
        <f t="shared" si="21"/>
        <v>-5.5991041433370858E-3</v>
      </c>
      <c r="J84" s="148">
        <f t="shared" si="22"/>
        <v>45711</v>
      </c>
      <c r="K84" s="146">
        <v>1019.85</v>
      </c>
      <c r="L84" s="128">
        <f t="shared" si="14"/>
        <v>-5.4074108426471312E-2</v>
      </c>
      <c r="N84" s="148">
        <f t="shared" si="23"/>
        <v>45711</v>
      </c>
      <c r="O84">
        <v>269.85000000000002</v>
      </c>
      <c r="P84" s="128">
        <f t="shared" si="15"/>
        <v>-3.3834586466165328E-2</v>
      </c>
      <c r="R84" s="148">
        <f t="shared" si="24"/>
        <v>45711</v>
      </c>
      <c r="S84">
        <v>107.83</v>
      </c>
      <c r="T84" s="128">
        <f t="shared" si="16"/>
        <v>-1.7589335308275666E-3</v>
      </c>
      <c r="V84" s="148">
        <f t="shared" si="25"/>
        <v>45711</v>
      </c>
      <c r="W84">
        <v>226.66</v>
      </c>
      <c r="X84" s="128">
        <f t="shared" si="17"/>
        <v>-6.1954227537971307E-2</v>
      </c>
      <c r="Z84" s="148">
        <f t="shared" si="26"/>
        <v>45711</v>
      </c>
      <c r="AA84" s="146">
        <v>22124.7</v>
      </c>
      <c r="AB84" s="128">
        <f t="shared" si="27"/>
        <v>-2.9443891226053842E-2</v>
      </c>
    </row>
    <row r="85" spans="2:28" x14ac:dyDescent="0.35">
      <c r="B85" s="148">
        <f t="shared" si="18"/>
        <v>45718</v>
      </c>
      <c r="C85" s="146">
        <v>2270</v>
      </c>
      <c r="D85" s="128">
        <f t="shared" si="19"/>
        <v>4.1403830714531464E-2</v>
      </c>
      <c r="F85" s="148">
        <f t="shared" si="20"/>
        <v>45718</v>
      </c>
      <c r="G85">
        <v>509.15</v>
      </c>
      <c r="H85" s="128">
        <f t="shared" si="21"/>
        <v>4.2485667485667511E-2</v>
      </c>
      <c r="J85" s="148">
        <f t="shared" si="22"/>
        <v>45718</v>
      </c>
      <c r="K85" s="146">
        <v>1063.5</v>
      </c>
      <c r="L85" s="128">
        <f t="shared" si="14"/>
        <v>4.2800411825268503E-2</v>
      </c>
      <c r="N85" s="148">
        <f t="shared" si="23"/>
        <v>45718</v>
      </c>
      <c r="O85">
        <v>263.89999999999998</v>
      </c>
      <c r="P85" s="128">
        <f t="shared" si="15"/>
        <v>-2.2049286640726473E-2</v>
      </c>
      <c r="R85" s="148">
        <f t="shared" si="24"/>
        <v>45718</v>
      </c>
      <c r="S85">
        <v>110.98</v>
      </c>
      <c r="T85" s="128">
        <f t="shared" si="16"/>
        <v>2.9212649540944158E-2</v>
      </c>
      <c r="V85" s="148">
        <f t="shared" si="25"/>
        <v>45718</v>
      </c>
      <c r="W85">
        <v>235.65</v>
      </c>
      <c r="X85" s="128">
        <f t="shared" si="17"/>
        <v>3.9662931262684165E-2</v>
      </c>
      <c r="Z85" s="148">
        <f t="shared" si="26"/>
        <v>45718</v>
      </c>
      <c r="AA85" s="146">
        <v>22552.5</v>
      </c>
      <c r="AB85" s="128">
        <f t="shared" si="27"/>
        <v>1.9335855401429125E-2</v>
      </c>
    </row>
    <row r="86" spans="2:28" x14ac:dyDescent="0.35">
      <c r="B86" s="148">
        <f t="shared" si="18"/>
        <v>45725</v>
      </c>
      <c r="C86" s="146">
        <v>2231.3000000000002</v>
      </c>
      <c r="D86" s="128">
        <f t="shared" si="19"/>
        <v>-1.7048458149779622E-2</v>
      </c>
      <c r="F86" s="148">
        <f t="shared" si="20"/>
        <v>45725</v>
      </c>
      <c r="G86">
        <v>487.85</v>
      </c>
      <c r="H86" s="128">
        <f t="shared" si="21"/>
        <v>-4.1834429932239958E-2</v>
      </c>
      <c r="J86" s="148">
        <f t="shared" si="22"/>
        <v>45725</v>
      </c>
      <c r="K86">
        <v>990.25</v>
      </c>
      <c r="L86" s="128">
        <f t="shared" si="14"/>
        <v>-6.8876351669017399E-2</v>
      </c>
      <c r="N86" s="148">
        <f t="shared" si="23"/>
        <v>45725</v>
      </c>
      <c r="O86">
        <v>254</v>
      </c>
      <c r="P86" s="128">
        <f t="shared" si="15"/>
        <v>-3.7514209928002917E-2</v>
      </c>
      <c r="R86" s="148">
        <f t="shared" si="24"/>
        <v>45725</v>
      </c>
      <c r="S86">
        <v>105.82</v>
      </c>
      <c r="T86" s="128">
        <f t="shared" si="16"/>
        <v>-4.6494863939448683E-2</v>
      </c>
      <c r="V86" s="148">
        <f t="shared" si="25"/>
        <v>45725</v>
      </c>
      <c r="W86">
        <v>224.65</v>
      </c>
      <c r="X86" s="128">
        <f t="shared" si="17"/>
        <v>-4.6679397411415247E-2</v>
      </c>
      <c r="Z86" s="148">
        <f t="shared" si="26"/>
        <v>45725</v>
      </c>
      <c r="AA86" s="146">
        <v>22397.200000000001</v>
      </c>
      <c r="AB86" s="128">
        <f t="shared" si="27"/>
        <v>-6.8861545283227521E-3</v>
      </c>
    </row>
    <row r="87" spans="2:28" x14ac:dyDescent="0.35">
      <c r="B87" s="148">
        <f t="shared" si="18"/>
        <v>45732</v>
      </c>
      <c r="C87" s="146">
        <v>2300.4</v>
      </c>
      <c r="D87" s="128">
        <f t="shared" si="19"/>
        <v>3.0968493703222189E-2</v>
      </c>
      <c r="F87" s="148">
        <f t="shared" si="20"/>
        <v>45732</v>
      </c>
      <c r="G87">
        <v>500.05</v>
      </c>
      <c r="H87" s="128">
        <f t="shared" si="21"/>
        <v>2.5007686788971917E-2</v>
      </c>
      <c r="J87" s="148">
        <f t="shared" si="22"/>
        <v>45732</v>
      </c>
      <c r="K87">
        <v>994.45</v>
      </c>
      <c r="L87" s="128">
        <f t="shared" si="14"/>
        <v>4.2413531936380533E-3</v>
      </c>
      <c r="N87" s="148">
        <f t="shared" si="23"/>
        <v>45732</v>
      </c>
      <c r="O87">
        <v>269.85000000000002</v>
      </c>
      <c r="P87" s="128">
        <f t="shared" si="15"/>
        <v>6.2401574803149673E-2</v>
      </c>
      <c r="R87" s="148">
        <f t="shared" si="24"/>
        <v>45732</v>
      </c>
      <c r="S87">
        <v>107.34</v>
      </c>
      <c r="T87" s="128">
        <f t="shared" si="16"/>
        <v>1.4364014364014466E-2</v>
      </c>
      <c r="V87" s="148">
        <f t="shared" si="25"/>
        <v>45732</v>
      </c>
      <c r="W87">
        <v>244.93</v>
      </c>
      <c r="X87" s="128">
        <f t="shared" si="17"/>
        <v>9.0273759180948154E-2</v>
      </c>
      <c r="Z87" s="148">
        <f t="shared" si="26"/>
        <v>45732</v>
      </c>
      <c r="AA87" s="146">
        <v>23350.400000000001</v>
      </c>
      <c r="AB87" s="128">
        <f t="shared" si="27"/>
        <v>4.2558891289982803E-2</v>
      </c>
    </row>
    <row r="88" spans="2:28" x14ac:dyDescent="0.35">
      <c r="B88" s="148">
        <f t="shared" si="18"/>
        <v>45739</v>
      </c>
      <c r="C88" s="146">
        <v>2340.65</v>
      </c>
      <c r="D88" s="128">
        <f t="shared" si="19"/>
        <v>1.7496957050947559E-2</v>
      </c>
      <c r="F88" s="148">
        <f t="shared" si="20"/>
        <v>45739</v>
      </c>
      <c r="G88">
        <v>499.8</v>
      </c>
      <c r="H88" s="128">
        <f t="shared" si="21"/>
        <v>-4.9995000499947206E-4</v>
      </c>
      <c r="J88" s="148">
        <f t="shared" si="22"/>
        <v>45739</v>
      </c>
      <c r="K88">
        <v>942.7</v>
      </c>
      <c r="L88" s="128">
        <f t="shared" si="14"/>
        <v>-5.2038815425612173E-2</v>
      </c>
      <c r="N88" s="148">
        <f t="shared" si="23"/>
        <v>45739</v>
      </c>
      <c r="O88">
        <v>241.7</v>
      </c>
      <c r="P88" s="128">
        <f t="shared" si="15"/>
        <v>-0.10431721326662968</v>
      </c>
      <c r="R88" s="148">
        <f t="shared" si="24"/>
        <v>45739</v>
      </c>
      <c r="S88">
        <v>98.71</v>
      </c>
      <c r="T88" s="128">
        <f t="shared" si="16"/>
        <v>-8.0398732997950528E-2</v>
      </c>
      <c r="V88" s="148">
        <f t="shared" si="25"/>
        <v>45739</v>
      </c>
      <c r="W88">
        <v>232.9</v>
      </c>
      <c r="X88" s="128">
        <f t="shared" si="17"/>
        <v>-4.9116073980320918E-2</v>
      </c>
      <c r="Z88" s="148">
        <f t="shared" si="26"/>
        <v>45739</v>
      </c>
      <c r="AA88" s="146">
        <v>23519.35</v>
      </c>
      <c r="AB88" s="128">
        <f t="shared" si="27"/>
        <v>7.2354220912702605E-3</v>
      </c>
    </row>
    <row r="89" spans="2:28" x14ac:dyDescent="0.35">
      <c r="B89" s="148">
        <f t="shared" si="18"/>
        <v>45746</v>
      </c>
      <c r="C89" s="146">
        <v>2356.0500000000002</v>
      </c>
      <c r="D89" s="128">
        <f t="shared" si="19"/>
        <v>6.5793689787025933E-3</v>
      </c>
      <c r="F89" s="148">
        <f t="shared" si="20"/>
        <v>45746</v>
      </c>
      <c r="G89">
        <v>513.1</v>
      </c>
      <c r="H89" s="128">
        <f t="shared" si="21"/>
        <v>2.6610644257703209E-2</v>
      </c>
      <c r="J89" s="148">
        <f t="shared" si="22"/>
        <v>45746</v>
      </c>
      <c r="K89">
        <v>963.2</v>
      </c>
      <c r="L89" s="128">
        <f t="shared" si="14"/>
        <v>2.1746048583854982E-2</v>
      </c>
      <c r="N89" s="148">
        <f t="shared" si="23"/>
        <v>45746</v>
      </c>
      <c r="O89">
        <v>258.52</v>
      </c>
      <c r="P89" s="128">
        <f t="shared" si="15"/>
        <v>6.959040132395522E-2</v>
      </c>
      <c r="R89" s="148">
        <f t="shared" si="24"/>
        <v>45746</v>
      </c>
      <c r="S89">
        <v>101.94</v>
      </c>
      <c r="T89" s="128">
        <f t="shared" si="16"/>
        <v>3.2722115287205034E-2</v>
      </c>
      <c r="V89" s="148">
        <f t="shared" si="25"/>
        <v>45746</v>
      </c>
      <c r="W89">
        <v>239.54</v>
      </c>
      <c r="X89" s="128">
        <f t="shared" si="17"/>
        <v>2.8510090167453761E-2</v>
      </c>
      <c r="Z89" s="148">
        <f t="shared" si="26"/>
        <v>45746</v>
      </c>
      <c r="AA89" s="146">
        <v>22904.45</v>
      </c>
      <c r="AB89" s="128">
        <f t="shared" si="27"/>
        <v>-2.6144430011883713E-2</v>
      </c>
    </row>
    <row r="90" spans="2:28" x14ac:dyDescent="0.35">
      <c r="B90" s="148">
        <f t="shared" si="18"/>
        <v>45753</v>
      </c>
      <c r="C90" s="146">
        <v>2393.6</v>
      </c>
      <c r="D90" s="128">
        <f t="shared" si="19"/>
        <v>1.5937692324016872E-2</v>
      </c>
      <c r="F90" s="148">
        <f t="shared" si="20"/>
        <v>45753</v>
      </c>
      <c r="G90">
        <v>530.5</v>
      </c>
      <c r="H90" s="128">
        <f t="shared" si="21"/>
        <v>3.391151822256866E-2</v>
      </c>
      <c r="J90" s="148">
        <f t="shared" si="22"/>
        <v>45753</v>
      </c>
      <c r="K90">
        <v>985.7</v>
      </c>
      <c r="L90" s="128">
        <f t="shared" si="14"/>
        <v>2.3359634551495034E-2</v>
      </c>
      <c r="N90" s="148">
        <f t="shared" si="23"/>
        <v>45753</v>
      </c>
      <c r="O90">
        <v>260.02999999999997</v>
      </c>
      <c r="P90" s="128">
        <f t="shared" si="15"/>
        <v>5.8409407395945134E-3</v>
      </c>
      <c r="R90" s="148">
        <f t="shared" si="24"/>
        <v>45753</v>
      </c>
      <c r="S90">
        <v>107.33</v>
      </c>
      <c r="T90" s="128">
        <f t="shared" si="16"/>
        <v>5.2874239748871954E-2</v>
      </c>
      <c r="V90" s="148">
        <f t="shared" si="25"/>
        <v>45753</v>
      </c>
      <c r="W90">
        <v>249.58</v>
      </c>
      <c r="X90" s="128">
        <f t="shared" si="17"/>
        <v>4.1913667863404891E-2</v>
      </c>
      <c r="Z90" s="148">
        <f t="shared" si="26"/>
        <v>45753</v>
      </c>
      <c r="AA90" s="146">
        <v>22828.55</v>
      </c>
      <c r="AB90" s="128">
        <f t="shared" si="27"/>
        <v>-3.3137665388167648E-3</v>
      </c>
    </row>
    <row r="91" spans="2:28" x14ac:dyDescent="0.35">
      <c r="B91" s="148">
        <f t="shared" si="18"/>
        <v>45760</v>
      </c>
      <c r="C91" s="146">
        <v>2467.9</v>
      </c>
      <c r="D91" s="128">
        <f t="shared" si="19"/>
        <v>3.1041109625668417E-2</v>
      </c>
      <c r="F91" s="148">
        <f t="shared" si="20"/>
        <v>45760</v>
      </c>
      <c r="G91">
        <v>543.04999999999995</v>
      </c>
      <c r="H91" s="128">
        <f t="shared" si="21"/>
        <v>2.3656927426955576E-2</v>
      </c>
      <c r="J91" s="148">
        <f t="shared" si="22"/>
        <v>45760</v>
      </c>
      <c r="K91" s="146">
        <v>1017.45</v>
      </c>
      <c r="L91" s="128">
        <f t="shared" si="14"/>
        <v>3.2210611747996332E-2</v>
      </c>
      <c r="N91" s="148">
        <f t="shared" si="23"/>
        <v>45760</v>
      </c>
      <c r="O91">
        <v>291.14999999999998</v>
      </c>
      <c r="P91" s="128">
        <f t="shared" si="15"/>
        <v>0.11967849863477298</v>
      </c>
      <c r="R91" s="148">
        <f t="shared" si="24"/>
        <v>45760</v>
      </c>
      <c r="S91">
        <v>112.2</v>
      </c>
      <c r="T91" s="128">
        <f t="shared" si="16"/>
        <v>4.5374079940370793E-2</v>
      </c>
      <c r="V91" s="148">
        <f t="shared" si="25"/>
        <v>45760</v>
      </c>
      <c r="W91">
        <v>258.12</v>
      </c>
      <c r="X91" s="128">
        <f t="shared" si="17"/>
        <v>3.4217485375430678E-2</v>
      </c>
      <c r="Z91" s="148">
        <f t="shared" si="26"/>
        <v>45760</v>
      </c>
      <c r="AA91" s="146">
        <v>23851.65</v>
      </c>
      <c r="AB91" s="128">
        <f t="shared" si="27"/>
        <v>4.4816687875489425E-2</v>
      </c>
    </row>
    <row r="92" spans="2:28" x14ac:dyDescent="0.35">
      <c r="B92" s="148">
        <f t="shared" si="18"/>
        <v>45767</v>
      </c>
      <c r="C92" s="146">
        <v>2431.6</v>
      </c>
      <c r="D92" s="128">
        <f t="shared" si="19"/>
        <v>-1.4708861785323601E-2</v>
      </c>
      <c r="F92" s="148">
        <f t="shared" si="20"/>
        <v>45767</v>
      </c>
      <c r="G92">
        <v>552.15</v>
      </c>
      <c r="H92" s="128">
        <f t="shared" si="21"/>
        <v>1.6757204677285698E-2</v>
      </c>
      <c r="J92" s="148">
        <f t="shared" si="22"/>
        <v>45767</v>
      </c>
      <c r="K92" s="146">
        <v>1005.55</v>
      </c>
      <c r="L92" s="128">
        <f t="shared" si="14"/>
        <v>-1.1695906432748648E-2</v>
      </c>
      <c r="N92" s="148">
        <f t="shared" si="23"/>
        <v>45767</v>
      </c>
      <c r="O92">
        <v>283.2</v>
      </c>
      <c r="P92" s="128">
        <f t="shared" si="15"/>
        <v>-2.7305512622359585E-2</v>
      </c>
      <c r="R92" s="148">
        <f t="shared" si="24"/>
        <v>45767</v>
      </c>
      <c r="S92">
        <v>109.57</v>
      </c>
      <c r="T92" s="128">
        <f t="shared" si="16"/>
        <v>-2.3440285204991196E-2</v>
      </c>
      <c r="V92" s="148">
        <f t="shared" si="25"/>
        <v>45767</v>
      </c>
      <c r="W92">
        <v>262.20999999999998</v>
      </c>
      <c r="X92" s="128">
        <f t="shared" si="17"/>
        <v>1.5845343251200905E-2</v>
      </c>
      <c r="Z92" s="148">
        <f t="shared" si="26"/>
        <v>45767</v>
      </c>
      <c r="AA92" s="146">
        <v>24039.35</v>
      </c>
      <c r="AB92" s="128">
        <f t="shared" si="27"/>
        <v>7.86947653516612E-3</v>
      </c>
    </row>
    <row r="93" spans="2:28" x14ac:dyDescent="0.35">
      <c r="B93" s="148">
        <f t="shared" si="18"/>
        <v>45774</v>
      </c>
      <c r="C93" s="146">
        <v>2409.8000000000002</v>
      </c>
      <c r="D93" s="128">
        <f t="shared" si="19"/>
        <v>-8.9652903438064424E-3</v>
      </c>
      <c r="F93" s="148">
        <f t="shared" si="20"/>
        <v>45774</v>
      </c>
      <c r="G93">
        <v>543.6</v>
      </c>
      <c r="H93" s="128">
        <f t="shared" si="21"/>
        <v>-1.5484922575387028E-2</v>
      </c>
      <c r="J93" s="148">
        <f t="shared" si="22"/>
        <v>45774</v>
      </c>
      <c r="K93">
        <v>988.4</v>
      </c>
      <c r="L93" s="128">
        <f t="shared" si="14"/>
        <v>-1.7055342847198007E-2</v>
      </c>
      <c r="N93" s="148">
        <f t="shared" si="23"/>
        <v>45774</v>
      </c>
      <c r="O93">
        <v>284.60000000000002</v>
      </c>
      <c r="P93" s="128">
        <f t="shared" si="15"/>
        <v>4.9435028248587809E-3</v>
      </c>
      <c r="R93" s="148">
        <f t="shared" si="24"/>
        <v>45774</v>
      </c>
      <c r="S93">
        <v>102.57</v>
      </c>
      <c r="T93" s="128">
        <f t="shared" si="16"/>
        <v>-6.3886100209911478E-2</v>
      </c>
      <c r="V93" s="148">
        <f t="shared" si="25"/>
        <v>45774</v>
      </c>
      <c r="W93">
        <v>254.75</v>
      </c>
      <c r="X93" s="128">
        <f t="shared" si="17"/>
        <v>-2.8450478624003628E-2</v>
      </c>
      <c r="Z93" s="148">
        <f t="shared" si="26"/>
        <v>45774</v>
      </c>
      <c r="AA93" s="146">
        <v>24346.7</v>
      </c>
      <c r="AB93" s="128">
        <f t="shared" si="27"/>
        <v>1.2785287455775673E-2</v>
      </c>
    </row>
    <row r="94" spans="2:28" x14ac:dyDescent="0.35">
      <c r="B94" s="148">
        <f t="shared" si="18"/>
        <v>45781</v>
      </c>
      <c r="C94" s="146">
        <v>2299.6</v>
      </c>
      <c r="D94" s="128">
        <f t="shared" si="19"/>
        <v>-4.5729936094281776E-2</v>
      </c>
      <c r="F94" s="148">
        <f t="shared" si="20"/>
        <v>45781</v>
      </c>
      <c r="G94">
        <v>536.9</v>
      </c>
      <c r="H94" s="128">
        <f t="shared" si="21"/>
        <v>-1.2325239146431244E-2</v>
      </c>
      <c r="J94" s="148">
        <f t="shared" si="22"/>
        <v>45781</v>
      </c>
      <c r="K94">
        <v>950.35</v>
      </c>
      <c r="L94" s="128">
        <f t="shared" si="14"/>
        <v>-3.8496560097126653E-2</v>
      </c>
      <c r="N94" s="148">
        <f t="shared" si="23"/>
        <v>45781</v>
      </c>
      <c r="O94">
        <v>260.3</v>
      </c>
      <c r="P94" s="128">
        <f t="shared" si="15"/>
        <v>-8.5382993675333863E-2</v>
      </c>
      <c r="R94" s="148">
        <f t="shared" si="24"/>
        <v>45781</v>
      </c>
      <c r="S94">
        <v>96.69</v>
      </c>
      <c r="T94" s="128">
        <f t="shared" si="16"/>
        <v>-5.7326703714536409E-2</v>
      </c>
      <c r="V94" s="148">
        <f t="shared" si="25"/>
        <v>45781</v>
      </c>
      <c r="W94">
        <v>257.75</v>
      </c>
      <c r="X94" s="128">
        <f t="shared" si="17"/>
        <v>1.1776251226692791E-2</v>
      </c>
      <c r="Z94" s="148">
        <f t="shared" si="26"/>
        <v>45781</v>
      </c>
      <c r="AA94" s="146">
        <v>24008</v>
      </c>
      <c r="AB94" s="128">
        <f t="shared" si="27"/>
        <v>-1.391153626569519E-2</v>
      </c>
    </row>
    <row r="95" spans="2:28" x14ac:dyDescent="0.35">
      <c r="B95" s="148">
        <f t="shared" si="18"/>
        <v>45788</v>
      </c>
      <c r="C95" s="146">
        <v>2353.6</v>
      </c>
      <c r="D95" s="128">
        <f t="shared" si="19"/>
        <v>2.3482344755609619E-2</v>
      </c>
      <c r="F95" s="148">
        <f t="shared" si="20"/>
        <v>45788</v>
      </c>
      <c r="G95">
        <v>576.25</v>
      </c>
      <c r="H95" s="128">
        <f t="shared" si="21"/>
        <v>7.3291115663997042E-2</v>
      </c>
      <c r="J95" s="148">
        <f t="shared" si="22"/>
        <v>45788</v>
      </c>
      <c r="K95" s="146">
        <v>1028.2</v>
      </c>
      <c r="L95" s="128">
        <f t="shared" si="14"/>
        <v>8.1917188404272201E-2</v>
      </c>
      <c r="N95" s="148">
        <f t="shared" si="23"/>
        <v>45788</v>
      </c>
      <c r="O95">
        <v>273.35000000000002</v>
      </c>
      <c r="P95" s="128">
        <f t="shared" si="15"/>
        <v>5.0134460238186795E-2</v>
      </c>
      <c r="R95" s="148">
        <f t="shared" si="24"/>
        <v>45788</v>
      </c>
      <c r="S95">
        <v>102.03</v>
      </c>
      <c r="T95" s="128">
        <f t="shared" si="16"/>
        <v>5.522804840210993E-2</v>
      </c>
      <c r="V95" s="148">
        <f t="shared" si="25"/>
        <v>45788</v>
      </c>
      <c r="W95">
        <v>263.60000000000002</v>
      </c>
      <c r="X95" s="128">
        <f t="shared" si="17"/>
        <v>2.2696411251212467E-2</v>
      </c>
      <c r="Z95" s="148">
        <f t="shared" si="26"/>
        <v>45788</v>
      </c>
      <c r="AA95" s="146">
        <v>25019.8</v>
      </c>
      <c r="AB95" s="128">
        <f t="shared" si="27"/>
        <v>4.2144285238253865E-2</v>
      </c>
    </row>
    <row r="96" spans="2:28" x14ac:dyDescent="0.35">
      <c r="B96" s="148">
        <f t="shared" si="18"/>
        <v>45795</v>
      </c>
      <c r="C96" s="146">
        <v>2315.5</v>
      </c>
      <c r="D96" s="128">
        <f t="shared" si="19"/>
        <v>-1.6187967369136635E-2</v>
      </c>
      <c r="F96" s="148">
        <f t="shared" si="20"/>
        <v>45795</v>
      </c>
      <c r="G96">
        <v>555</v>
      </c>
      <c r="H96" s="128">
        <f t="shared" si="21"/>
        <v>-3.6876355748373113E-2</v>
      </c>
      <c r="J96" s="148">
        <f t="shared" si="22"/>
        <v>45795</v>
      </c>
      <c r="K96" s="146">
        <v>1031.8</v>
      </c>
      <c r="L96" s="128">
        <f t="shared" si="14"/>
        <v>3.501264345457944E-3</v>
      </c>
      <c r="N96" s="148">
        <f t="shared" si="23"/>
        <v>45795</v>
      </c>
      <c r="O96">
        <v>315</v>
      </c>
      <c r="P96" s="128">
        <f t="shared" si="15"/>
        <v>0.15236875800256078</v>
      </c>
      <c r="R96" s="148">
        <f t="shared" si="24"/>
        <v>45795</v>
      </c>
      <c r="S96">
        <v>102.78</v>
      </c>
      <c r="T96" s="128">
        <f t="shared" si="16"/>
        <v>7.3507791825933033E-3</v>
      </c>
      <c r="V96" s="148">
        <f t="shared" si="25"/>
        <v>45795</v>
      </c>
      <c r="W96">
        <v>260.2</v>
      </c>
      <c r="X96" s="128">
        <f t="shared" si="17"/>
        <v>-1.2898330804248959E-2</v>
      </c>
      <c r="Z96" s="148">
        <f t="shared" si="26"/>
        <v>45795</v>
      </c>
      <c r="AA96" s="146">
        <v>24853.15</v>
      </c>
      <c r="AB96" s="128">
        <f t="shared" si="27"/>
        <v>-6.660724706032739E-3</v>
      </c>
    </row>
    <row r="97" spans="2:28" x14ac:dyDescent="0.35">
      <c r="B97" s="148">
        <f t="shared" si="18"/>
        <v>45802</v>
      </c>
      <c r="C97" s="146">
        <v>2259.1</v>
      </c>
      <c r="D97" s="128">
        <f t="shared" si="19"/>
        <v>-2.4357590153314623E-2</v>
      </c>
      <c r="F97" s="148">
        <f t="shared" si="20"/>
        <v>45802</v>
      </c>
      <c r="G97">
        <v>568.45000000000005</v>
      </c>
      <c r="H97" s="128">
        <f t="shared" si="21"/>
        <v>2.423423423423432E-2</v>
      </c>
      <c r="J97" s="148">
        <f t="shared" si="22"/>
        <v>45802</v>
      </c>
      <c r="K97" s="146">
        <v>1079.45</v>
      </c>
      <c r="L97" s="128">
        <f t="shared" si="14"/>
        <v>4.6181430509788735E-2</v>
      </c>
      <c r="N97" s="148">
        <f t="shared" si="23"/>
        <v>45802</v>
      </c>
      <c r="O97">
        <v>349.05</v>
      </c>
      <c r="P97" s="128">
        <f t="shared" si="15"/>
        <v>0.10809523809523802</v>
      </c>
      <c r="R97" s="148">
        <f t="shared" si="24"/>
        <v>45802</v>
      </c>
      <c r="S97">
        <v>99.93</v>
      </c>
      <c r="T97" s="128">
        <f t="shared" si="16"/>
        <v>-2.7729130180969008E-2</v>
      </c>
      <c r="V97" s="148">
        <f t="shared" si="25"/>
        <v>45802</v>
      </c>
      <c r="W97">
        <v>253.7</v>
      </c>
      <c r="X97" s="128">
        <f t="shared" si="17"/>
        <v>-2.4980784012298196E-2</v>
      </c>
      <c r="Z97" s="148">
        <f t="shared" si="26"/>
        <v>45802</v>
      </c>
      <c r="AA97" s="146">
        <v>24750.7</v>
      </c>
      <c r="AB97" s="128">
        <f t="shared" si="27"/>
        <v>-4.1222138843567402E-3</v>
      </c>
    </row>
    <row r="98" spans="2:28" x14ac:dyDescent="0.35">
      <c r="B98" s="148">
        <f t="shared" si="18"/>
        <v>45809</v>
      </c>
      <c r="C98" s="146">
        <v>2245.1999999999998</v>
      </c>
      <c r="D98" s="128">
        <f t="shared" si="19"/>
        <v>-6.1528927448984971E-3</v>
      </c>
      <c r="F98" s="148">
        <f t="shared" si="20"/>
        <v>45809</v>
      </c>
      <c r="G98">
        <v>581.54999999999995</v>
      </c>
      <c r="H98" s="128">
        <f t="shared" si="21"/>
        <v>2.3045122702084475E-2</v>
      </c>
      <c r="J98" s="148">
        <f t="shared" si="22"/>
        <v>45809</v>
      </c>
      <c r="K98" s="146">
        <v>1074.9000000000001</v>
      </c>
      <c r="L98" s="128">
        <f t="shared" si="14"/>
        <v>-4.2151095465282618E-3</v>
      </c>
      <c r="N98" s="148">
        <f t="shared" si="23"/>
        <v>45809</v>
      </c>
      <c r="O98">
        <v>367.3</v>
      </c>
      <c r="P98" s="128">
        <f t="shared" si="15"/>
        <v>5.2284772955164094E-2</v>
      </c>
      <c r="R98" s="148">
        <f t="shared" si="24"/>
        <v>45809</v>
      </c>
      <c r="S98">
        <v>98.97</v>
      </c>
      <c r="T98" s="128">
        <f t="shared" si="16"/>
        <v>-9.6067247072951778E-3</v>
      </c>
      <c r="V98" s="148">
        <f t="shared" si="25"/>
        <v>45809</v>
      </c>
      <c r="W98">
        <v>247.85</v>
      </c>
      <c r="X98" s="128">
        <f t="shared" si="17"/>
        <v>-2.3058730784391024E-2</v>
      </c>
      <c r="Z98" s="148">
        <f t="shared" si="26"/>
        <v>45809</v>
      </c>
      <c r="AA98" s="146">
        <v>25003.05</v>
      </c>
      <c r="AB98" s="128">
        <f t="shared" si="27"/>
        <v>1.0195671233540704E-2</v>
      </c>
    </row>
    <row r="99" spans="2:28" x14ac:dyDescent="0.35">
      <c r="B99" s="148">
        <f t="shared" si="18"/>
        <v>45816</v>
      </c>
      <c r="C99" s="146">
        <v>2214.1999999999998</v>
      </c>
      <c r="D99" s="128">
        <f t="shared" si="19"/>
        <v>-1.3807233208622871E-2</v>
      </c>
      <c r="F99" s="148">
        <f t="shared" si="20"/>
        <v>45816</v>
      </c>
      <c r="G99">
        <v>570.1</v>
      </c>
      <c r="H99" s="128">
        <f t="shared" si="21"/>
        <v>-1.9688762789098035E-2</v>
      </c>
      <c r="J99" s="148">
        <f t="shared" si="22"/>
        <v>45816</v>
      </c>
      <c r="K99" s="146">
        <v>1094.5999999999999</v>
      </c>
      <c r="L99" s="128">
        <f t="shared" si="14"/>
        <v>1.8327286259186781E-2</v>
      </c>
      <c r="N99" s="148">
        <f t="shared" si="23"/>
        <v>45816</v>
      </c>
      <c r="O99">
        <v>383</v>
      </c>
      <c r="P99" s="128">
        <f t="shared" si="15"/>
        <v>4.2744350667029751E-2</v>
      </c>
      <c r="R99" s="148">
        <f t="shared" si="24"/>
        <v>45816</v>
      </c>
      <c r="S99">
        <v>100.11</v>
      </c>
      <c r="T99" s="128">
        <f t="shared" si="16"/>
        <v>1.1518642012731117E-2</v>
      </c>
      <c r="V99" s="148">
        <f t="shared" si="25"/>
        <v>45816</v>
      </c>
      <c r="W99">
        <v>241.19</v>
      </c>
      <c r="X99" s="128">
        <f t="shared" si="17"/>
        <v>-2.6871091385918922E-2</v>
      </c>
      <c r="Z99" s="148">
        <f t="shared" si="26"/>
        <v>45816</v>
      </c>
      <c r="AA99" s="146">
        <v>24718.6</v>
      </c>
      <c r="AB99" s="128">
        <f t="shared" si="27"/>
        <v>-1.1376612053329516E-2</v>
      </c>
    </row>
    <row r="100" spans="2:28" x14ac:dyDescent="0.35">
      <c r="B100" s="148">
        <f t="shared" si="18"/>
        <v>45823</v>
      </c>
      <c r="C100" s="146">
        <v>2285.6999999999998</v>
      </c>
      <c r="D100" s="128">
        <f t="shared" si="19"/>
        <v>3.2291572577002992E-2</v>
      </c>
      <c r="F100" s="148">
        <f t="shared" si="20"/>
        <v>45823</v>
      </c>
      <c r="G100">
        <v>537.29999999999995</v>
      </c>
      <c r="H100" s="128">
        <f t="shared" si="21"/>
        <v>-5.7533766005963938E-2</v>
      </c>
      <c r="J100" s="148">
        <f t="shared" si="22"/>
        <v>45823</v>
      </c>
      <c r="K100" s="146">
        <v>1121</v>
      </c>
      <c r="L100" s="128">
        <f t="shared" si="14"/>
        <v>2.4118399415311575E-2</v>
      </c>
      <c r="N100" s="148">
        <f t="shared" si="23"/>
        <v>45823</v>
      </c>
      <c r="O100">
        <v>378.2</v>
      </c>
      <c r="P100" s="128">
        <f t="shared" si="15"/>
        <v>-1.2532637075718056E-2</v>
      </c>
      <c r="R100" s="148">
        <f t="shared" si="24"/>
        <v>45823</v>
      </c>
      <c r="S100">
        <v>95.33</v>
      </c>
      <c r="T100" s="128">
        <f t="shared" si="16"/>
        <v>-4.7747477774448099E-2</v>
      </c>
      <c r="V100" s="148">
        <f t="shared" si="25"/>
        <v>45823</v>
      </c>
      <c r="W100">
        <v>238.55</v>
      </c>
      <c r="X100" s="128">
        <f t="shared" si="17"/>
        <v>-1.0945727434802377E-2</v>
      </c>
      <c r="Z100" s="148">
        <f t="shared" si="26"/>
        <v>45823</v>
      </c>
      <c r="AA100" s="146">
        <v>25112.400000000001</v>
      </c>
      <c r="AB100" s="128">
        <f t="shared" si="27"/>
        <v>1.5931322971365791E-2</v>
      </c>
    </row>
    <row r="101" spans="2:28" x14ac:dyDescent="0.35">
      <c r="B101" s="148">
        <f t="shared" si="18"/>
        <v>45830</v>
      </c>
      <c r="C101" s="146">
        <v>2358.6999999999998</v>
      </c>
      <c r="D101" s="128">
        <f t="shared" si="19"/>
        <v>3.193769961062265E-2</v>
      </c>
      <c r="F101" s="148">
        <f t="shared" si="20"/>
        <v>45830</v>
      </c>
      <c r="G101">
        <v>584.5</v>
      </c>
      <c r="H101" s="128">
        <f t="shared" si="21"/>
        <v>8.7846640610459881E-2</v>
      </c>
      <c r="J101" s="148">
        <f t="shared" si="22"/>
        <v>45830</v>
      </c>
      <c r="K101" s="146">
        <v>1161.0999999999999</v>
      </c>
      <c r="L101" s="128">
        <f t="shared" si="14"/>
        <v>3.5771632471008008E-2</v>
      </c>
      <c r="N101" s="148">
        <f t="shared" si="23"/>
        <v>45830</v>
      </c>
      <c r="O101">
        <v>382.2</v>
      </c>
      <c r="P101" s="128">
        <f t="shared" si="15"/>
        <v>1.057641459545211E-2</v>
      </c>
      <c r="R101" s="148">
        <f t="shared" si="24"/>
        <v>45830</v>
      </c>
      <c r="S101">
        <v>96.01</v>
      </c>
      <c r="T101" s="128">
        <f t="shared" si="16"/>
        <v>7.1331165425365661E-3</v>
      </c>
      <c r="V101" s="148">
        <f t="shared" si="25"/>
        <v>45830</v>
      </c>
      <c r="W101">
        <v>248.1</v>
      </c>
      <c r="X101" s="128">
        <f t="shared" si="17"/>
        <v>4.0033535946342402E-2</v>
      </c>
      <c r="Z101" s="148">
        <f t="shared" si="26"/>
        <v>45830</v>
      </c>
      <c r="AA101" s="146">
        <v>25637.8</v>
      </c>
      <c r="AB101" s="128">
        <f t="shared" si="27"/>
        <v>2.092193498032846E-2</v>
      </c>
    </row>
    <row r="102" spans="2:28" x14ac:dyDescent="0.35">
      <c r="B102" s="148">
        <f t="shared" si="18"/>
        <v>45837</v>
      </c>
      <c r="C102" s="146">
        <v>2424.1999999999998</v>
      </c>
      <c r="D102" s="128">
        <f t="shared" si="19"/>
        <v>2.7769534065374968E-2</v>
      </c>
      <c r="F102" s="148">
        <f t="shared" si="20"/>
        <v>45837</v>
      </c>
      <c r="G102">
        <v>595.6</v>
      </c>
      <c r="H102" s="128">
        <f t="shared" si="21"/>
        <v>1.8990590248075367E-2</v>
      </c>
      <c r="J102" s="148">
        <f t="shared" si="22"/>
        <v>45837</v>
      </c>
      <c r="K102" s="146">
        <v>1199.5</v>
      </c>
      <c r="L102" s="128">
        <f t="shared" si="14"/>
        <v>3.3072086814228019E-2</v>
      </c>
      <c r="N102" s="148">
        <f t="shared" si="23"/>
        <v>45837</v>
      </c>
      <c r="O102">
        <v>382</v>
      </c>
      <c r="P102" s="128">
        <f t="shared" si="15"/>
        <v>-5.2328623757191828E-4</v>
      </c>
      <c r="R102" s="148">
        <f t="shared" si="24"/>
        <v>45837</v>
      </c>
      <c r="S102">
        <v>95.93</v>
      </c>
      <c r="T102" s="128">
        <f t="shared" si="16"/>
        <v>-8.3324653681904337E-4</v>
      </c>
      <c r="V102" s="148">
        <f t="shared" si="25"/>
        <v>45837</v>
      </c>
      <c r="W102">
        <v>250.05</v>
      </c>
      <c r="X102" s="128">
        <f t="shared" si="17"/>
        <v>7.8597339782346953E-3</v>
      </c>
      <c r="Z102" s="148">
        <f t="shared" si="26"/>
        <v>45837</v>
      </c>
      <c r="AA102" s="146">
        <v>25461</v>
      </c>
      <c r="AB102" s="128">
        <f t="shared" si="27"/>
        <v>-6.8960675252947023E-3</v>
      </c>
    </row>
    <row r="103" spans="2:28" x14ac:dyDescent="0.35">
      <c r="B103" s="148">
        <f t="shared" si="18"/>
        <v>45844</v>
      </c>
      <c r="C103" s="146">
        <v>2439.1999999999998</v>
      </c>
      <c r="D103" s="128">
        <f t="shared" si="19"/>
        <v>6.1876082831449075E-3</v>
      </c>
      <c r="F103" s="148">
        <f t="shared" si="20"/>
        <v>45844</v>
      </c>
      <c r="G103">
        <v>573.15</v>
      </c>
      <c r="H103" s="128">
        <f t="shared" si="21"/>
        <v>-3.7693082605775752E-2</v>
      </c>
      <c r="J103" s="148">
        <f t="shared" si="22"/>
        <v>45844</v>
      </c>
      <c r="K103" s="146">
        <v>1200.2</v>
      </c>
      <c r="L103" s="128">
        <f t="shared" si="14"/>
        <v>5.8357649020424063E-4</v>
      </c>
      <c r="N103" s="148">
        <f t="shared" si="23"/>
        <v>45844</v>
      </c>
      <c r="O103">
        <v>424.6</v>
      </c>
      <c r="P103" s="128">
        <f t="shared" si="15"/>
        <v>0.11151832460732991</v>
      </c>
      <c r="R103" s="148">
        <f t="shared" si="24"/>
        <v>45844</v>
      </c>
      <c r="S103">
        <v>96.68</v>
      </c>
      <c r="T103" s="128">
        <f t="shared" si="16"/>
        <v>7.8182007713958335E-3</v>
      </c>
      <c r="V103" s="148">
        <f t="shared" si="25"/>
        <v>45844</v>
      </c>
      <c r="W103">
        <v>246.25</v>
      </c>
      <c r="X103" s="128">
        <f t="shared" si="17"/>
        <v>-1.5196960607878451E-2</v>
      </c>
      <c r="Z103" s="148">
        <f t="shared" si="26"/>
        <v>45844</v>
      </c>
      <c r="AA103" s="146">
        <v>25149.85</v>
      </c>
      <c r="AB103" s="128">
        <f t="shared" si="27"/>
        <v>-1.2220651192019205E-2</v>
      </c>
    </row>
    <row r="104" spans="2:28" x14ac:dyDescent="0.35">
      <c r="B104" s="148">
        <f t="shared" si="18"/>
        <v>45851</v>
      </c>
      <c r="C104" s="146">
        <v>2382.4</v>
      </c>
      <c r="D104" s="128">
        <f t="shared" si="19"/>
        <v>-2.3286323384716145E-2</v>
      </c>
      <c r="F104" s="148">
        <f t="shared" si="20"/>
        <v>45851</v>
      </c>
      <c r="G104">
        <v>577.04999999999995</v>
      </c>
      <c r="H104" s="128">
        <f t="shared" si="21"/>
        <v>6.8045014394138015E-3</v>
      </c>
      <c r="J104" s="148">
        <f t="shared" si="22"/>
        <v>45851</v>
      </c>
      <c r="K104" s="146">
        <v>1201.0999999999999</v>
      </c>
      <c r="L104" s="128">
        <f t="shared" si="14"/>
        <v>7.4987502082968227E-4</v>
      </c>
      <c r="N104" s="148">
        <f t="shared" si="23"/>
        <v>45851</v>
      </c>
      <c r="O104">
        <v>422.05</v>
      </c>
      <c r="P104" s="128">
        <f t="shared" si="15"/>
        <v>-6.0056523787094251E-3</v>
      </c>
      <c r="R104" s="148">
        <f t="shared" si="24"/>
        <v>45851</v>
      </c>
      <c r="S104">
        <v>96.62</v>
      </c>
      <c r="T104" s="128">
        <f t="shared" si="16"/>
        <v>-6.2060405461317192E-4</v>
      </c>
      <c r="V104" s="148">
        <f t="shared" si="25"/>
        <v>45851</v>
      </c>
      <c r="W104">
        <v>248.1</v>
      </c>
      <c r="X104" s="128">
        <f t="shared" si="17"/>
        <v>7.5126903553299762E-3</v>
      </c>
      <c r="Z104" s="148">
        <f t="shared" si="26"/>
        <v>45851</v>
      </c>
      <c r="AA104" s="146">
        <v>24968.400000000001</v>
      </c>
      <c r="AB104" s="128">
        <f t="shared" si="27"/>
        <v>-7.214754759968578E-3</v>
      </c>
    </row>
    <row r="105" spans="2:28" x14ac:dyDescent="0.35">
      <c r="B105" s="148">
        <f t="shared" si="18"/>
        <v>45858</v>
      </c>
      <c r="C105" s="146">
        <v>2336.1999999999998</v>
      </c>
      <c r="D105" s="128">
        <f t="shared" si="19"/>
        <v>-1.9392209536601812E-2</v>
      </c>
      <c r="F105" s="148">
        <f t="shared" si="20"/>
        <v>45858</v>
      </c>
      <c r="G105">
        <v>558.65</v>
      </c>
      <c r="H105" s="128">
        <f t="shared" si="21"/>
        <v>-3.1886318343297804E-2</v>
      </c>
      <c r="J105" s="148">
        <f t="shared" si="22"/>
        <v>45858</v>
      </c>
      <c r="K105" s="146">
        <v>1140.4000000000001</v>
      </c>
      <c r="L105" s="128">
        <f t="shared" si="14"/>
        <v>-5.0537007742902151E-2</v>
      </c>
      <c r="N105" s="148">
        <f t="shared" si="23"/>
        <v>45858</v>
      </c>
      <c r="O105">
        <v>417.35</v>
      </c>
      <c r="P105" s="128">
        <f t="shared" si="15"/>
        <v>-1.1136121312640634E-2</v>
      </c>
      <c r="R105" s="148">
        <f t="shared" si="24"/>
        <v>45858</v>
      </c>
      <c r="S105">
        <v>84.52</v>
      </c>
      <c r="T105" s="128">
        <f t="shared" si="16"/>
        <v>-0.12523287104119241</v>
      </c>
      <c r="V105" s="148">
        <f t="shared" si="25"/>
        <v>45858</v>
      </c>
      <c r="W105">
        <v>244.95</v>
      </c>
      <c r="X105" s="128">
        <f t="shared" si="17"/>
        <v>-1.2696493349455884E-2</v>
      </c>
      <c r="Z105" s="148">
        <f t="shared" si="26"/>
        <v>45858</v>
      </c>
      <c r="AA105" s="146">
        <v>24837</v>
      </c>
      <c r="AB105" s="128">
        <f t="shared" si="27"/>
        <v>-5.2626519921180615E-3</v>
      </c>
    </row>
    <row r="106" spans="2:28" x14ac:dyDescent="0.35">
      <c r="B106" s="148">
        <f t="shared" si="18"/>
        <v>45865</v>
      </c>
      <c r="C106" s="146">
        <v>2431</v>
      </c>
      <c r="D106" s="128">
        <f t="shared" si="19"/>
        <v>4.0578717575550094E-2</v>
      </c>
      <c r="F106" s="148">
        <f t="shared" si="20"/>
        <v>45865</v>
      </c>
      <c r="G106">
        <v>566.54999999999995</v>
      </c>
      <c r="H106" s="128">
        <f t="shared" si="21"/>
        <v>1.4141233330349889E-2</v>
      </c>
      <c r="J106" s="148">
        <f t="shared" si="22"/>
        <v>45865</v>
      </c>
      <c r="K106" s="146">
        <v>1204.5999999999999</v>
      </c>
      <c r="L106" s="128">
        <f t="shared" si="14"/>
        <v>5.6296036478428402E-2</v>
      </c>
      <c r="N106" s="148">
        <f t="shared" si="23"/>
        <v>45865</v>
      </c>
      <c r="O106">
        <v>434.55</v>
      </c>
      <c r="P106" s="128">
        <f t="shared" si="15"/>
        <v>4.1212411644902414E-2</v>
      </c>
      <c r="R106" s="148">
        <f t="shared" si="24"/>
        <v>45865</v>
      </c>
      <c r="S106">
        <v>78.239999999999995</v>
      </c>
      <c r="T106" s="128">
        <f t="shared" si="16"/>
        <v>-7.4301940369143393E-2</v>
      </c>
      <c r="V106" s="148">
        <f t="shared" si="25"/>
        <v>45865</v>
      </c>
      <c r="W106">
        <v>250.05</v>
      </c>
      <c r="X106" s="128">
        <f t="shared" si="17"/>
        <v>2.0820575627679139E-2</v>
      </c>
      <c r="Z106" s="148">
        <f t="shared" si="26"/>
        <v>45865</v>
      </c>
      <c r="AA106" s="146">
        <v>24565.35</v>
      </c>
      <c r="AB106" s="128">
        <f t="shared" si="27"/>
        <v>-1.0937311269477057E-2</v>
      </c>
    </row>
    <row r="107" spans="2:28" x14ac:dyDescent="0.35">
      <c r="B107" s="148">
        <f t="shared" si="18"/>
        <v>45872</v>
      </c>
      <c r="C107" s="146">
        <v>2475.6</v>
      </c>
      <c r="D107" s="128">
        <f t="shared" si="19"/>
        <v>1.8346359522830147E-2</v>
      </c>
      <c r="F107" s="148">
        <f t="shared" si="20"/>
        <v>45872</v>
      </c>
      <c r="G107">
        <v>548.15</v>
      </c>
      <c r="H107" s="128">
        <f t="shared" si="21"/>
        <v>-3.247727473303319E-2</v>
      </c>
      <c r="J107" s="148">
        <f t="shared" si="22"/>
        <v>45872</v>
      </c>
      <c r="K107" s="146">
        <v>1152.4000000000001</v>
      </c>
      <c r="L107" s="128">
        <f t="shared" si="14"/>
        <v>-4.3333886767391472E-2</v>
      </c>
      <c r="N107" s="148">
        <f t="shared" si="23"/>
        <v>45872</v>
      </c>
      <c r="O107">
        <v>453.1</v>
      </c>
      <c r="P107" s="128">
        <f t="shared" si="15"/>
        <v>4.2687837993326427E-2</v>
      </c>
      <c r="R107" s="148">
        <f t="shared" si="24"/>
        <v>45872</v>
      </c>
      <c r="S107">
        <v>75.14</v>
      </c>
      <c r="T107" s="128">
        <f t="shared" si="16"/>
        <v>-3.9621676891615443E-2</v>
      </c>
      <c r="V107" s="148">
        <f t="shared" si="25"/>
        <v>45872</v>
      </c>
      <c r="W107">
        <v>232.89</v>
      </c>
      <c r="X107" s="128">
        <f t="shared" si="17"/>
        <v>-6.8626274745051119E-2</v>
      </c>
      <c r="Z107" s="148">
        <f t="shared" si="26"/>
        <v>45872</v>
      </c>
      <c r="AA107" s="146">
        <v>24363.3</v>
      </c>
      <c r="AB107" s="128">
        <f t="shared" si="27"/>
        <v>-8.2249998473459263E-3</v>
      </c>
    </row>
    <row r="108" spans="2:28" x14ac:dyDescent="0.35">
      <c r="B108" s="148">
        <f t="shared" si="18"/>
        <v>45879</v>
      </c>
      <c r="C108" s="146">
        <v>2528.6999999999998</v>
      </c>
      <c r="D108" s="128">
        <f t="shared" si="19"/>
        <v>2.1449345613184567E-2</v>
      </c>
      <c r="F108" s="148">
        <f t="shared" si="20"/>
        <v>45879</v>
      </c>
      <c r="G108">
        <v>533.35</v>
      </c>
      <c r="H108" s="128">
        <f t="shared" si="21"/>
        <v>-2.6999908784091864E-2</v>
      </c>
      <c r="J108" s="148">
        <f t="shared" si="22"/>
        <v>45879</v>
      </c>
      <c r="K108" s="146">
        <v>1107.2</v>
      </c>
      <c r="L108" s="128">
        <f t="shared" si="14"/>
        <v>-3.9222492190211788E-2</v>
      </c>
      <c r="N108" s="148">
        <f t="shared" si="23"/>
        <v>45879</v>
      </c>
      <c r="O108">
        <v>464.5</v>
      </c>
      <c r="P108" s="128">
        <f t="shared" si="15"/>
        <v>2.5160008828073233E-2</v>
      </c>
      <c r="R108" s="148">
        <f t="shared" si="24"/>
        <v>45879</v>
      </c>
      <c r="S108">
        <v>70.239999999999995</v>
      </c>
      <c r="T108" s="128">
        <f t="shared" si="16"/>
        <v>-6.521160500399259E-2</v>
      </c>
      <c r="V108" s="148">
        <f t="shared" si="25"/>
        <v>45879</v>
      </c>
      <c r="W108">
        <v>235.45</v>
      </c>
      <c r="X108" s="128">
        <f t="shared" si="17"/>
        <v>1.0992313967967737E-2</v>
      </c>
      <c r="Z108" s="148">
        <f t="shared" si="26"/>
        <v>45879</v>
      </c>
      <c r="AA108" s="146">
        <v>24631.3</v>
      </c>
      <c r="AB108" s="128">
        <f t="shared" si="27"/>
        <v>1.100015186776826E-2</v>
      </c>
    </row>
    <row r="109" spans="2:28" x14ac:dyDescent="0.35">
      <c r="B109" s="148">
        <f t="shared" si="18"/>
        <v>45886</v>
      </c>
      <c r="C109" s="146">
        <v>2504.5</v>
      </c>
      <c r="D109" s="128">
        <f t="shared" si="19"/>
        <v>-9.5701348519001694E-3</v>
      </c>
      <c r="F109" s="148">
        <f t="shared" si="20"/>
        <v>45886</v>
      </c>
      <c r="G109">
        <v>526.85</v>
      </c>
      <c r="H109" s="128">
        <f t="shared" si="21"/>
        <v>-1.218711915252646E-2</v>
      </c>
      <c r="J109" s="148">
        <f t="shared" si="22"/>
        <v>45886</v>
      </c>
      <c r="K109" s="146">
        <v>1133.5</v>
      </c>
      <c r="L109" s="128">
        <f t="shared" si="14"/>
        <v>2.3753612716763017E-2</v>
      </c>
      <c r="N109" s="148">
        <f t="shared" si="23"/>
        <v>45886</v>
      </c>
      <c r="O109">
        <v>458.85</v>
      </c>
      <c r="P109" s="128">
        <f t="shared" si="15"/>
        <v>-1.2163616792249643E-2</v>
      </c>
      <c r="R109" s="148">
        <f t="shared" si="24"/>
        <v>45886</v>
      </c>
      <c r="S109">
        <v>73</v>
      </c>
      <c r="T109" s="128">
        <f t="shared" si="16"/>
        <v>3.9293849658314395E-2</v>
      </c>
      <c r="V109" s="148">
        <f t="shared" si="25"/>
        <v>45886</v>
      </c>
      <c r="W109">
        <v>232.62</v>
      </c>
      <c r="X109" s="128">
        <f t="shared" si="17"/>
        <v>-1.2019537056699892E-2</v>
      </c>
      <c r="Z109" s="148">
        <f t="shared" si="26"/>
        <v>45886</v>
      </c>
      <c r="AA109" s="146">
        <v>24870.1</v>
      </c>
      <c r="AB109" s="128">
        <f t="shared" si="27"/>
        <v>9.6949815884666002E-3</v>
      </c>
    </row>
    <row r="110" spans="2:28" x14ac:dyDescent="0.35">
      <c r="B110" s="148">
        <f t="shared" si="18"/>
        <v>45893</v>
      </c>
      <c r="C110" s="146">
        <v>2518.6</v>
      </c>
      <c r="D110" s="128">
        <f t="shared" si="19"/>
        <v>5.6298662407665567E-3</v>
      </c>
      <c r="F110" s="148">
        <f t="shared" si="20"/>
        <v>45893</v>
      </c>
      <c r="G110">
        <v>532.5</v>
      </c>
      <c r="H110" s="128">
        <f t="shared" si="21"/>
        <v>1.0724115023251324E-2</v>
      </c>
      <c r="J110" s="148">
        <f t="shared" si="22"/>
        <v>45893</v>
      </c>
      <c r="K110" s="146">
        <v>1099.7</v>
      </c>
      <c r="L110" s="128">
        <f t="shared" si="14"/>
        <v>-2.9819144243493523E-2</v>
      </c>
      <c r="N110" s="148">
        <f t="shared" si="23"/>
        <v>45893</v>
      </c>
      <c r="O110">
        <v>462.75</v>
      </c>
      <c r="P110" s="128">
        <f t="shared" si="15"/>
        <v>8.4995096436744078E-3</v>
      </c>
      <c r="R110" s="148">
        <f t="shared" si="24"/>
        <v>45893</v>
      </c>
      <c r="S110">
        <v>71.73</v>
      </c>
      <c r="T110" s="128">
        <f t="shared" si="16"/>
        <v>-1.7397260273972592E-2</v>
      </c>
      <c r="V110" s="148">
        <f t="shared" si="25"/>
        <v>45893</v>
      </c>
      <c r="W110">
        <v>239.99</v>
      </c>
      <c r="X110" s="128">
        <f t="shared" si="17"/>
        <v>3.1682572435732137E-2</v>
      </c>
      <c r="Z110" s="148">
        <f t="shared" si="26"/>
        <v>45893</v>
      </c>
      <c r="AA110" s="146">
        <v>24426.85</v>
      </c>
      <c r="AB110" s="128">
        <f t="shared" si="27"/>
        <v>-1.7822606262138052E-2</v>
      </c>
    </row>
    <row r="111" spans="2:28" x14ac:dyDescent="0.35">
      <c r="B111" s="148">
        <f t="shared" si="18"/>
        <v>45900</v>
      </c>
      <c r="C111" s="146">
        <v>2579.9</v>
      </c>
      <c r="D111" s="128">
        <f t="shared" si="19"/>
        <v>2.4338918446756175E-2</v>
      </c>
      <c r="F111" s="148">
        <f t="shared" si="20"/>
        <v>45900</v>
      </c>
      <c r="G111">
        <v>538.95000000000005</v>
      </c>
      <c r="H111" s="128">
        <f t="shared" si="21"/>
        <v>1.2112676056338145E-2</v>
      </c>
      <c r="J111" s="148">
        <f t="shared" si="22"/>
        <v>45900</v>
      </c>
      <c r="K111" s="146">
        <v>1145.4000000000001</v>
      </c>
      <c r="L111" s="128">
        <f t="shared" si="14"/>
        <v>4.1556788214967666E-2</v>
      </c>
      <c r="N111" s="148">
        <f t="shared" si="23"/>
        <v>45900</v>
      </c>
      <c r="O111">
        <v>467.75</v>
      </c>
      <c r="P111" s="128">
        <f t="shared" si="15"/>
        <v>1.0804970286331761E-2</v>
      </c>
      <c r="R111" s="148">
        <f t="shared" si="24"/>
        <v>45900</v>
      </c>
      <c r="S111">
        <v>72.58</v>
      </c>
      <c r="T111" s="128">
        <f t="shared" si="16"/>
        <v>1.1849993029415806E-2</v>
      </c>
      <c r="V111" s="148">
        <f t="shared" si="25"/>
        <v>45900</v>
      </c>
      <c r="W111">
        <v>242.88</v>
      </c>
      <c r="X111" s="128">
        <f t="shared" si="17"/>
        <v>1.2042168423684219E-2</v>
      </c>
      <c r="Z111" s="148">
        <f t="shared" si="26"/>
        <v>45900</v>
      </c>
      <c r="AA111" s="146">
        <v>24741</v>
      </c>
      <c r="AB111" s="128">
        <f t="shared" si="27"/>
        <v>1.2860847796584585E-2</v>
      </c>
    </row>
    <row r="112" spans="2:28" x14ac:dyDescent="0.35">
      <c r="F112" s="147"/>
      <c r="G112" s="146"/>
    </row>
  </sheetData>
  <mergeCells count="9">
    <mergeCell ref="B2:AA3"/>
    <mergeCell ref="AD5:AF5"/>
    <mergeCell ref="B5:D5"/>
    <mergeCell ref="Z5:AB5"/>
    <mergeCell ref="J5:L5"/>
    <mergeCell ref="F5:H5"/>
    <mergeCell ref="N5:P5"/>
    <mergeCell ref="R5:T5"/>
    <mergeCell ref="V5:X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E930-2524-4978-8E46-F2F7986BD4E0}">
  <sheetPr>
    <tabColor theme="0"/>
  </sheetPr>
  <dimension ref="B2:L31"/>
  <sheetViews>
    <sheetView showGridLines="0" topLeftCell="A2" workbookViewId="0">
      <selection activeCell="J6" sqref="J6"/>
    </sheetView>
  </sheetViews>
  <sheetFormatPr defaultRowHeight="14.5" x14ac:dyDescent="0.35"/>
  <cols>
    <col min="1" max="1" width="1.81640625" customWidth="1"/>
  </cols>
  <sheetData>
    <row r="2" spans="2:12" ht="14.5" customHeight="1" x14ac:dyDescent="0.35">
      <c r="B2" s="21" t="s">
        <v>272</v>
      </c>
      <c r="C2" s="21"/>
      <c r="D2" s="143"/>
      <c r="E2" s="143"/>
      <c r="F2" s="143"/>
      <c r="G2" s="143"/>
      <c r="H2" s="143"/>
      <c r="I2" s="143"/>
      <c r="J2" s="143"/>
      <c r="K2" s="143"/>
      <c r="L2" s="143"/>
    </row>
    <row r="3" spans="2:12" ht="14.5" customHeight="1" x14ac:dyDescent="0.35">
      <c r="B3" s="21" t="s">
        <v>234</v>
      </c>
      <c r="C3" s="21"/>
      <c r="D3" s="143"/>
      <c r="E3" s="143"/>
      <c r="F3" s="143"/>
      <c r="G3" s="143"/>
      <c r="H3" s="143"/>
      <c r="I3" s="143"/>
      <c r="J3" s="143"/>
      <c r="K3" s="143"/>
      <c r="L3" s="143"/>
    </row>
    <row r="5" spans="2:12" x14ac:dyDescent="0.35">
      <c r="B5" s="21" t="s">
        <v>232</v>
      </c>
      <c r="C5" s="21" t="s">
        <v>233</v>
      </c>
    </row>
    <row r="6" spans="2:12" x14ac:dyDescent="0.35">
      <c r="B6" s="152">
        <v>2000</v>
      </c>
      <c r="C6" s="128">
        <v>-0.14649999999999999</v>
      </c>
      <c r="E6" t="s">
        <v>235</v>
      </c>
      <c r="G6" s="5">
        <f>AVERAGE(C6:C30)</f>
        <v>0.15334799999999998</v>
      </c>
    </row>
    <row r="7" spans="2:12" ht="16.5" x14ac:dyDescent="0.35">
      <c r="B7" s="152">
        <v>2001</v>
      </c>
      <c r="C7" s="128">
        <v>-0.1618</v>
      </c>
      <c r="E7" t="s">
        <v>236</v>
      </c>
      <c r="G7" s="156" t="s">
        <v>238</v>
      </c>
    </row>
    <row r="8" spans="2:12" x14ac:dyDescent="0.35">
      <c r="B8" s="152">
        <v>2002</v>
      </c>
      <c r="C8" s="128">
        <v>3.2500000000000001E-2</v>
      </c>
      <c r="E8" s="153" t="s">
        <v>237</v>
      </c>
      <c r="F8" s="153"/>
      <c r="G8" s="132">
        <f>SUM(G6:G7)</f>
        <v>0.15334799999999998</v>
      </c>
    </row>
    <row r="9" spans="2:12" x14ac:dyDescent="0.35">
      <c r="B9" s="152">
        <v>2003</v>
      </c>
      <c r="C9" s="128">
        <v>0.71900000000000008</v>
      </c>
    </row>
    <row r="10" spans="2:12" x14ac:dyDescent="0.35">
      <c r="B10" s="152">
        <v>2004</v>
      </c>
      <c r="C10" s="128">
        <v>0.10679999999999999</v>
      </c>
    </row>
    <row r="11" spans="2:12" x14ac:dyDescent="0.35">
      <c r="B11" s="152">
        <v>2005</v>
      </c>
      <c r="C11" s="128">
        <v>0.36340000000000006</v>
      </c>
    </row>
    <row r="12" spans="2:12" x14ac:dyDescent="0.35">
      <c r="B12" s="152">
        <v>2006</v>
      </c>
      <c r="C12" s="128">
        <v>0.39829999999999999</v>
      </c>
    </row>
    <row r="13" spans="2:12" x14ac:dyDescent="0.35">
      <c r="B13" s="152">
        <v>2007</v>
      </c>
      <c r="C13" s="128">
        <v>0.54770000000000008</v>
      </c>
    </row>
    <row r="14" spans="2:12" x14ac:dyDescent="0.35">
      <c r="B14" s="152">
        <v>2008</v>
      </c>
      <c r="C14" s="128">
        <v>-0.51790000000000003</v>
      </c>
    </row>
    <row r="15" spans="2:12" x14ac:dyDescent="0.35">
      <c r="B15" s="152">
        <v>2009</v>
      </c>
      <c r="C15" s="128">
        <v>0.75760000000000005</v>
      </c>
    </row>
    <row r="16" spans="2:12" x14ac:dyDescent="0.35">
      <c r="B16" s="152">
        <v>2010</v>
      </c>
      <c r="C16" s="128">
        <v>0.17949999999999999</v>
      </c>
    </row>
    <row r="17" spans="2:3" x14ac:dyDescent="0.35">
      <c r="B17" s="152">
        <v>2011</v>
      </c>
      <c r="C17" s="128">
        <v>-0.2462</v>
      </c>
    </row>
    <row r="18" spans="2:3" x14ac:dyDescent="0.35">
      <c r="B18" s="152">
        <v>2012</v>
      </c>
      <c r="C18" s="128">
        <v>0.27699999999999997</v>
      </c>
    </row>
    <row r="19" spans="2:3" x14ac:dyDescent="0.35">
      <c r="B19" s="152">
        <v>2013</v>
      </c>
      <c r="C19" s="128">
        <v>6.7599999999999993E-2</v>
      </c>
    </row>
    <row r="20" spans="2:3" x14ac:dyDescent="0.35">
      <c r="B20" s="152">
        <v>2014</v>
      </c>
      <c r="C20" s="128">
        <v>0.31390000000000001</v>
      </c>
    </row>
    <row r="21" spans="2:3" x14ac:dyDescent="0.35">
      <c r="B21" s="152">
        <v>2015</v>
      </c>
      <c r="C21" s="128">
        <v>-4.0599999999999997E-2</v>
      </c>
    </row>
    <row r="22" spans="2:3" x14ac:dyDescent="0.35">
      <c r="B22" s="152">
        <v>2016</v>
      </c>
      <c r="C22" s="128">
        <v>3.0099999999999998E-2</v>
      </c>
    </row>
    <row r="23" spans="2:3" x14ac:dyDescent="0.35">
      <c r="B23" s="152">
        <v>2017</v>
      </c>
      <c r="C23" s="128">
        <v>0.28649999999999998</v>
      </c>
    </row>
    <row r="24" spans="2:3" x14ac:dyDescent="0.35">
      <c r="B24" s="152">
        <v>2018</v>
      </c>
      <c r="C24" s="128">
        <v>3.15E-2</v>
      </c>
    </row>
    <row r="25" spans="2:3" x14ac:dyDescent="0.35">
      <c r="B25" s="152">
        <v>2019</v>
      </c>
      <c r="C25" s="128">
        <v>0.1202</v>
      </c>
    </row>
    <row r="26" spans="2:3" x14ac:dyDescent="0.35">
      <c r="B26" s="152">
        <v>2020</v>
      </c>
      <c r="C26" s="128">
        <v>0.14899999999999999</v>
      </c>
    </row>
    <row r="27" spans="2:3" x14ac:dyDescent="0.35">
      <c r="B27" s="152">
        <v>2021</v>
      </c>
      <c r="C27" s="128">
        <v>0.2412</v>
      </c>
    </row>
    <row r="28" spans="2:3" x14ac:dyDescent="0.35">
      <c r="B28" s="152">
        <v>2022</v>
      </c>
      <c r="C28" s="128">
        <v>4.3200000000000002E-2</v>
      </c>
    </row>
    <row r="29" spans="2:3" x14ac:dyDescent="0.35">
      <c r="B29" s="152">
        <v>2023</v>
      </c>
      <c r="C29" s="128">
        <v>0.19420000000000001</v>
      </c>
    </row>
    <row r="30" spans="2:3" x14ac:dyDescent="0.35">
      <c r="B30" s="152">
        <v>2024</v>
      </c>
      <c r="C30" s="128">
        <v>8.7499999999999994E-2</v>
      </c>
    </row>
    <row r="31" spans="2:3" x14ac:dyDescent="0.35">
      <c r="B31" s="15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6E3D-D863-41B5-8E50-DE6555FE9C5D}">
  <sheetPr>
    <tabColor rgb="FF00206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49-C9AE-47AF-8841-12121314DE98}">
  <dimension ref="A4:O111"/>
  <sheetViews>
    <sheetView showGridLines="0" topLeftCell="C1" zoomScaleNormal="100" workbookViewId="0">
      <pane ySplit="6" topLeftCell="A19" activePane="bottomLeft" state="frozen"/>
      <selection pane="bottomLeft" activeCell="D27" sqref="D27"/>
    </sheetView>
  </sheetViews>
  <sheetFormatPr defaultRowHeight="14.5" x14ac:dyDescent="0.35"/>
  <cols>
    <col min="1" max="1" width="1.81640625" customWidth="1"/>
    <col min="2" max="2" width="20.90625" bestFit="1" customWidth="1"/>
    <col min="3" max="13" width="12.6328125" customWidth="1"/>
    <col min="15" max="15" width="9.453125" bestFit="1" customWidth="1"/>
  </cols>
  <sheetData>
    <row r="4" spans="1:15" x14ac:dyDescent="0.35">
      <c r="B4" s="269" t="str">
        <f xml:space="preserve"> "Financial Statements  - " &amp; 'Profit &amp; Loss'!A1</f>
        <v>Financial Statements  - ASIAN PAINTS LTD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</row>
    <row r="5" spans="1:15" x14ac:dyDescent="0.35">
      <c r="B5" s="21" t="s">
        <v>81</v>
      </c>
      <c r="C5" s="21"/>
      <c r="D5" s="22">
        <f>'Profit &amp; Loss'!B3</f>
        <v>42460</v>
      </c>
      <c r="E5" s="22">
        <f>'Profit &amp; Loss'!C3</f>
        <v>42825</v>
      </c>
      <c r="F5" s="22">
        <f>'Profit &amp; Loss'!D3</f>
        <v>43190</v>
      </c>
      <c r="G5" s="22">
        <f>'Profit &amp; Loss'!E3</f>
        <v>43555</v>
      </c>
      <c r="H5" s="22">
        <f>'Profit &amp; Loss'!F3</f>
        <v>43921</v>
      </c>
      <c r="I5" s="22">
        <f>'Profit &amp; Loss'!G3</f>
        <v>44286</v>
      </c>
      <c r="J5" s="22">
        <f>'Profit &amp; Loss'!H3</f>
        <v>44651</v>
      </c>
      <c r="K5" s="22">
        <f>'Profit &amp; Loss'!I3</f>
        <v>45016</v>
      </c>
      <c r="L5" s="22">
        <f>'Profit &amp; Loss'!J3</f>
        <v>45382</v>
      </c>
      <c r="M5" s="22">
        <f>'Profit &amp; Loss'!K3</f>
        <v>45747</v>
      </c>
    </row>
    <row r="6" spans="1:15" ht="2.5" customHeight="1" x14ac:dyDescent="0.35"/>
    <row r="7" spans="1:15" x14ac:dyDescent="0.35">
      <c r="A7" s="2" t="s">
        <v>82</v>
      </c>
      <c r="B7" s="50" t="str">
        <f>"Income Statement - " &amp;'Data Sheet'!$B$1</f>
        <v>Income Statement - ASIAN PAINTS LTD</v>
      </c>
      <c r="C7" s="47"/>
      <c r="D7" s="48"/>
      <c r="E7" s="48"/>
      <c r="F7" s="48"/>
      <c r="G7" s="48"/>
      <c r="H7" s="48"/>
      <c r="I7" s="48"/>
      <c r="J7" s="48"/>
      <c r="K7" s="48"/>
      <c r="L7" s="48"/>
      <c r="M7" s="49"/>
    </row>
    <row r="8" spans="1:15" ht="2.5" customHeight="1" x14ac:dyDescent="0.35">
      <c r="B8" s="30"/>
      <c r="C8" s="31"/>
      <c r="D8" s="32"/>
      <c r="E8" s="32"/>
      <c r="F8" s="32"/>
      <c r="G8" s="32"/>
      <c r="H8" s="32"/>
      <c r="I8" s="32"/>
      <c r="J8" s="32"/>
      <c r="K8" s="32"/>
      <c r="L8" s="32"/>
      <c r="M8" s="32"/>
      <c r="N8" s="23"/>
      <c r="O8" s="23"/>
    </row>
    <row r="9" spans="1:15" x14ac:dyDescent="0.35">
      <c r="B9" s="51" t="s">
        <v>6</v>
      </c>
      <c r="C9" s="52"/>
      <c r="D9" s="53">
        <f>IFERROR('Profit &amp; Loss'!B4,0)</f>
        <v>14271.49</v>
      </c>
      <c r="E9" s="53">
        <f>IFERROR('Profit &amp; Loss'!C4,0)</f>
        <v>15061.99</v>
      </c>
      <c r="F9" s="53">
        <f>IFERROR('Profit &amp; Loss'!D4,0)</f>
        <v>16824.55</v>
      </c>
      <c r="G9" s="53">
        <f>IFERROR('Profit &amp; Loss'!E4,0)</f>
        <v>19240.13</v>
      </c>
      <c r="H9" s="53">
        <f>IFERROR('Profit &amp; Loss'!F4,0)</f>
        <v>20211.25</v>
      </c>
      <c r="I9" s="53">
        <f>IFERROR('Profit &amp; Loss'!G4,0)</f>
        <v>21712.79</v>
      </c>
      <c r="J9" s="53">
        <f>IFERROR('Profit &amp; Loss'!H4,0)</f>
        <v>29101.279999999999</v>
      </c>
      <c r="K9" s="53">
        <f>IFERROR('Profit &amp; Loss'!I4,0)</f>
        <v>34488.589999999997</v>
      </c>
      <c r="L9" s="53">
        <f>IFERROR('Profit &amp; Loss'!J4,0)</f>
        <v>35494.730000000003</v>
      </c>
      <c r="M9" s="53">
        <f>IFERROR('Profit &amp; Loss'!K4,0)</f>
        <v>33905.620000000003</v>
      </c>
      <c r="N9" s="40"/>
      <c r="O9" s="45"/>
    </row>
    <row r="10" spans="1:15" x14ac:dyDescent="0.35">
      <c r="B10" s="55" t="s">
        <v>22</v>
      </c>
      <c r="C10" s="56"/>
      <c r="D10" s="59" t="s">
        <v>83</v>
      </c>
      <c r="E10" s="59">
        <f>IFERROR(E9/D9-1,0)</f>
        <v>5.5390151974320734E-2</v>
      </c>
      <c r="F10" s="59">
        <f t="shared" ref="F10:M10" si="0">IFERROR(F9/E9-1,0)</f>
        <v>0.11702039371955486</v>
      </c>
      <c r="G10" s="59">
        <f t="shared" si="0"/>
        <v>0.14357471670861943</v>
      </c>
      <c r="H10" s="59">
        <f t="shared" si="0"/>
        <v>5.0473671435691925E-2</v>
      </c>
      <c r="I10" s="59">
        <f t="shared" si="0"/>
        <v>7.4292287711052118E-2</v>
      </c>
      <c r="J10" s="59">
        <f t="shared" si="0"/>
        <v>0.34028284711453471</v>
      </c>
      <c r="K10" s="59">
        <f t="shared" si="0"/>
        <v>0.18512278497715551</v>
      </c>
      <c r="L10" s="59">
        <f t="shared" si="0"/>
        <v>2.9173126532572313E-2</v>
      </c>
      <c r="M10" s="59">
        <f t="shared" si="0"/>
        <v>-4.4770308155605121E-2</v>
      </c>
      <c r="N10" s="39"/>
      <c r="O10" s="46"/>
    </row>
    <row r="11" spans="1:15" x14ac:dyDescent="0.35">
      <c r="B11" s="36"/>
      <c r="C11" s="42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25"/>
      <c r="O11" s="25"/>
    </row>
    <row r="12" spans="1:15" x14ac:dyDescent="0.35">
      <c r="B12" s="51" t="s">
        <v>135</v>
      </c>
      <c r="C12" s="52"/>
      <c r="D12" s="53">
        <f>IFERROR(SUM('Data Sheet'!B18,1*('Data Sheet'!B19),'Data Sheet'!B21),0)</f>
        <v>7905.72</v>
      </c>
      <c r="E12" s="53">
        <f>IFERROR(SUM('Data Sheet'!C18,-1*('Data Sheet'!C19),'Data Sheet'!C20,'Data Sheet'!C21),0)</f>
        <v>8692.77</v>
      </c>
      <c r="F12" s="53">
        <f>IFERROR(SUM('Data Sheet'!D18,-1*('Data Sheet'!D19),'Data Sheet'!D20,'Data Sheet'!D21),0)</f>
        <v>10072.279999999999</v>
      </c>
      <c r="G12" s="53">
        <f>IFERROR(SUM('Data Sheet'!E18,-1*('Data Sheet'!E19),'Data Sheet'!E20,'Data Sheet'!E21),0)</f>
        <v>11663.119999999999</v>
      </c>
      <c r="H12" s="53">
        <f>IFERROR(SUM('Data Sheet'!F18,-1*('Data Sheet'!F19),'Data Sheet'!F20,'Data Sheet'!F21),0)</f>
        <v>11786.75</v>
      </c>
      <c r="I12" s="53">
        <f>IFERROR(SUM('Data Sheet'!G18,-1*('Data Sheet'!G19),'Data Sheet'!G20,'Data Sheet'!G21),0)</f>
        <v>12487.459999999997</v>
      </c>
      <c r="J12" s="53">
        <f>IFERROR(SUM('Data Sheet'!H18,-1*('Data Sheet'!H19),'Data Sheet'!H20,'Data Sheet'!H21),0)</f>
        <v>18795.96</v>
      </c>
      <c r="K12" s="53">
        <f>IFERROR(SUM('Data Sheet'!I18,-1*('Data Sheet'!I19),'Data Sheet'!I20,'Data Sheet'!I21),0)</f>
        <v>21730.29</v>
      </c>
      <c r="L12" s="53">
        <f>IFERROR(SUM('Data Sheet'!J18,-1*('Data Sheet'!J19),'Data Sheet'!J20,'Data Sheet'!J21),0)</f>
        <v>20675.07</v>
      </c>
      <c r="M12" s="53">
        <f>IFERROR(SUM('Data Sheet'!K18,-1*('Data Sheet'!K19),'Data Sheet'!K20,'Data Sheet'!K21),0)</f>
        <v>20135.490000000002</v>
      </c>
      <c r="N12" s="91"/>
      <c r="O12" s="26"/>
    </row>
    <row r="13" spans="1:15" x14ac:dyDescent="0.35">
      <c r="B13" s="55" t="s">
        <v>136</v>
      </c>
      <c r="C13" s="56"/>
      <c r="D13" s="59">
        <f>IFERROR(D12/D9,0)</f>
        <v>0.55395196997650564</v>
      </c>
      <c r="E13" s="59">
        <f t="shared" ref="E13:M13" si="1">IFERROR(E12/E9,0)</f>
        <v>0.5771329020932825</v>
      </c>
      <c r="F13" s="59">
        <f t="shared" si="1"/>
        <v>0.59866564038859871</v>
      </c>
      <c r="G13" s="59">
        <f t="shared" si="1"/>
        <v>0.60618717233199559</v>
      </c>
      <c r="H13" s="59">
        <f t="shared" si="1"/>
        <v>0.58317768569484818</v>
      </c>
      <c r="I13" s="59">
        <f t="shared" si="1"/>
        <v>0.57512000991120882</v>
      </c>
      <c r="J13" s="59">
        <f t="shared" si="1"/>
        <v>0.64588086847039028</v>
      </c>
      <c r="K13" s="59">
        <f t="shared" si="1"/>
        <v>0.63007185854800107</v>
      </c>
      <c r="L13" s="59">
        <f t="shared" si="1"/>
        <v>0.58248280801121743</v>
      </c>
      <c r="M13" s="59">
        <f t="shared" si="1"/>
        <v>0.59386880405077391</v>
      </c>
      <c r="N13" s="27"/>
      <c r="O13" s="27"/>
    </row>
    <row r="14" spans="1:15" x14ac:dyDescent="0.35">
      <c r="B14" s="55"/>
      <c r="C14" s="56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27"/>
      <c r="O14" s="27"/>
    </row>
    <row r="15" spans="1:15" x14ac:dyDescent="0.35">
      <c r="B15" s="51" t="s">
        <v>137</v>
      </c>
      <c r="C15" s="56"/>
      <c r="D15" s="53">
        <f>IFERROR(D9-D12,0)</f>
        <v>6365.7699999999995</v>
      </c>
      <c r="E15" s="53">
        <f t="shared" ref="E15:M15" si="2">IFERROR(E9-E12,0)</f>
        <v>6369.2199999999993</v>
      </c>
      <c r="F15" s="53">
        <f t="shared" si="2"/>
        <v>6752.27</v>
      </c>
      <c r="G15" s="53">
        <f t="shared" si="2"/>
        <v>7577.010000000002</v>
      </c>
      <c r="H15" s="53">
        <f t="shared" si="2"/>
        <v>8424.5</v>
      </c>
      <c r="I15" s="53">
        <f t="shared" si="2"/>
        <v>9225.3300000000036</v>
      </c>
      <c r="J15" s="53">
        <f t="shared" si="2"/>
        <v>10305.32</v>
      </c>
      <c r="K15" s="53">
        <f t="shared" si="2"/>
        <v>12758.299999999996</v>
      </c>
      <c r="L15" s="53">
        <f t="shared" si="2"/>
        <v>14819.660000000003</v>
      </c>
      <c r="M15" s="53">
        <f t="shared" si="2"/>
        <v>13770.130000000001</v>
      </c>
      <c r="N15" s="91"/>
      <c r="O15" s="91"/>
    </row>
    <row r="16" spans="1:15" x14ac:dyDescent="0.35">
      <c r="B16" s="55" t="s">
        <v>138</v>
      </c>
      <c r="C16" s="56"/>
      <c r="D16" s="59">
        <f>IFERROR(D15/D9,0)</f>
        <v>0.44604803002349436</v>
      </c>
      <c r="E16" s="59">
        <f t="shared" ref="E16:M16" si="3">IFERROR(E15/E9,0)</f>
        <v>0.42286709790671745</v>
      </c>
      <c r="F16" s="59">
        <f t="shared" si="3"/>
        <v>0.40133435961140124</v>
      </c>
      <c r="G16" s="59">
        <f t="shared" si="3"/>
        <v>0.39381282766800441</v>
      </c>
      <c r="H16" s="59">
        <f t="shared" si="3"/>
        <v>0.41682231430515182</v>
      </c>
      <c r="I16" s="59">
        <f t="shared" si="3"/>
        <v>0.42487999008879113</v>
      </c>
      <c r="J16" s="59">
        <f t="shared" si="3"/>
        <v>0.35411913152960972</v>
      </c>
      <c r="K16" s="59">
        <f t="shared" si="3"/>
        <v>0.36992814145199898</v>
      </c>
      <c r="L16" s="59">
        <f t="shared" si="3"/>
        <v>0.41751719198878262</v>
      </c>
      <c r="M16" s="59">
        <f t="shared" si="3"/>
        <v>0.40613119594922614</v>
      </c>
      <c r="N16" s="27"/>
      <c r="O16" s="91"/>
    </row>
    <row r="17" spans="2:15" x14ac:dyDescent="0.35">
      <c r="B17" s="55"/>
      <c r="C17" s="56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27"/>
      <c r="O17" s="27"/>
    </row>
    <row r="18" spans="2:15" x14ac:dyDescent="0.35">
      <c r="B18" s="51" t="s">
        <v>159</v>
      </c>
      <c r="C18" s="56"/>
      <c r="D18" s="53">
        <f>IFERROR('Data Sheet'!B23-'Data Sheet'!B25,0)</f>
        <v>3698.9100000000003</v>
      </c>
      <c r="E18" s="53">
        <f>IFERROR('Data Sheet'!C23-'Data Sheet'!C25,0)</f>
        <v>4026.14</v>
      </c>
      <c r="F18" s="53">
        <f>IFERROR('Data Sheet'!D23-'Data Sheet'!D25,0)</f>
        <v>1918.51</v>
      </c>
      <c r="G18" s="53">
        <f>IFERROR('Data Sheet'!E23-'Data Sheet'!E25,0)</f>
        <v>2093.1</v>
      </c>
      <c r="H18" s="53">
        <f>IFERROR('Data Sheet'!F23-'Data Sheet'!F25,0)</f>
        <v>1956.4600000000003</v>
      </c>
      <c r="I18" s="53">
        <f>IFERROR('Data Sheet'!G23-'Data Sheet'!G25,0)</f>
        <v>1914.04</v>
      </c>
      <c r="J18" s="53">
        <f>IFERROR('Data Sheet'!H23-'Data Sheet'!H25,0)</f>
        <v>2646.1</v>
      </c>
      <c r="K18" s="53">
        <f>IFERROR('Data Sheet'!I23-'Data Sheet'!I25,0)</f>
        <v>3069.38</v>
      </c>
      <c r="L18" s="53">
        <f>IFERROR('Data Sheet'!J23-'Data Sheet'!J25,0)</f>
        <v>2990.9</v>
      </c>
      <c r="M18" s="53">
        <f>IFERROR('Data Sheet'!K23-'Data Sheet'!K25,0)</f>
        <v>3524.7200000000003</v>
      </c>
      <c r="N18" s="91"/>
      <c r="O18" s="27"/>
    </row>
    <row r="19" spans="2:15" x14ac:dyDescent="0.35">
      <c r="B19" s="55" t="s">
        <v>139</v>
      </c>
      <c r="C19" s="56"/>
      <c r="D19" s="59">
        <f>IFERROR(D18/D9,0)</f>
        <v>0.25918176728568637</v>
      </c>
      <c r="E19" s="59">
        <f t="shared" ref="E19:M19" si="4">IFERROR(E18/E9,0)</f>
        <v>0.2673046523068997</v>
      </c>
      <c r="F19" s="59">
        <f t="shared" si="4"/>
        <v>0.11403039011444586</v>
      </c>
      <c r="G19" s="59">
        <f t="shared" si="4"/>
        <v>0.10878824623326348</v>
      </c>
      <c r="H19" s="59">
        <f t="shared" si="4"/>
        <v>9.6800544251345183E-2</v>
      </c>
      <c r="I19" s="59">
        <f t="shared" si="4"/>
        <v>8.8152651041160532E-2</v>
      </c>
      <c r="J19" s="59">
        <f t="shared" si="4"/>
        <v>9.0927271927557826E-2</v>
      </c>
      <c r="K19" s="59">
        <f t="shared" si="4"/>
        <v>8.8996969722450248E-2</v>
      </c>
      <c r="L19" s="59">
        <f t="shared" si="4"/>
        <v>8.4263213158685804E-2</v>
      </c>
      <c r="M19" s="59">
        <f t="shared" si="4"/>
        <v>0.10395680716058282</v>
      </c>
      <c r="N19" s="27"/>
      <c r="O19" s="27"/>
    </row>
    <row r="20" spans="2:15" x14ac:dyDescent="0.35">
      <c r="B20" s="36"/>
      <c r="C20" s="42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27"/>
      <c r="O20" s="27"/>
    </row>
    <row r="21" spans="2:15" x14ac:dyDescent="0.35">
      <c r="B21" s="51" t="s">
        <v>86</v>
      </c>
      <c r="C21" s="52"/>
      <c r="D21" s="53">
        <f>IFERROR('Profit &amp; Loss'!B6,0)</f>
        <v>2725.0400000000027</v>
      </c>
      <c r="E21" s="53">
        <f>IFERROR('Profit &amp; Loss'!C6,0)</f>
        <v>2993.76</v>
      </c>
      <c r="F21" s="53">
        <f>IFERROR('Profit &amp; Loss'!D6,0)</f>
        <v>3204.01</v>
      </c>
      <c r="G21" s="53">
        <f>IFERROR('Profit &amp; Loss'!E6,0)</f>
        <v>3764.9400000000023</v>
      </c>
      <c r="H21" s="53">
        <f>IFERROR('Profit &amp; Loss'!F6,0)</f>
        <v>4156.8199999999979</v>
      </c>
      <c r="I21" s="53">
        <f>IFERROR('Profit &amp; Loss'!G6,0)</f>
        <v>4855.6000000000022</v>
      </c>
      <c r="J21" s="53">
        <f>IFERROR('Profit &amp; Loss'!H6,0)</f>
        <v>4803.6100000000006</v>
      </c>
      <c r="K21" s="53">
        <f>IFERROR('Profit &amp; Loss'!I6,0)</f>
        <v>6259.8399999999965</v>
      </c>
      <c r="L21" s="53">
        <f>IFERROR('Profit &amp; Loss'!J6,0)</f>
        <v>7584.98</v>
      </c>
      <c r="M21" s="53">
        <f>IFERROR('Profit &amp; Loss'!K6,0)</f>
        <v>6006.2100000000028</v>
      </c>
      <c r="N21" s="27"/>
      <c r="O21" s="27"/>
    </row>
    <row r="22" spans="2:15" x14ac:dyDescent="0.35">
      <c r="B22" s="55" t="s">
        <v>87</v>
      </c>
      <c r="C22" s="56"/>
      <c r="D22" s="59">
        <f>IFERROR(D21/D9,0)</f>
        <v>0.19094292186730347</v>
      </c>
      <c r="E22" s="59">
        <f t="shared" ref="E22:M22" si="5">IFERROR(E21/E9,0)</f>
        <v>0.19876258050895004</v>
      </c>
      <c r="F22" s="59">
        <f t="shared" si="5"/>
        <v>0.19043659414367697</v>
      </c>
      <c r="G22" s="59">
        <f t="shared" si="5"/>
        <v>0.19568163000977656</v>
      </c>
      <c r="H22" s="59">
        <f t="shared" si="5"/>
        <v>0.20566862514688591</v>
      </c>
      <c r="I22" s="59">
        <f t="shared" si="5"/>
        <v>0.22362856178317028</v>
      </c>
      <c r="J22" s="59">
        <f t="shared" si="5"/>
        <v>0.16506524798909192</v>
      </c>
      <c r="K22" s="59">
        <f t="shared" si="5"/>
        <v>0.18150466574597562</v>
      </c>
      <c r="L22" s="59">
        <f t="shared" si="5"/>
        <v>0.21369313134654072</v>
      </c>
      <c r="M22" s="59">
        <f t="shared" si="5"/>
        <v>0.17714496888716391</v>
      </c>
      <c r="N22" s="41"/>
      <c r="O22" s="41"/>
    </row>
    <row r="23" spans="2:15" x14ac:dyDescent="0.35">
      <c r="B23" s="55"/>
      <c r="C23" s="56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41"/>
      <c r="O23" s="41"/>
    </row>
    <row r="24" spans="2:15" x14ac:dyDescent="0.35">
      <c r="B24" s="51" t="s">
        <v>160</v>
      </c>
      <c r="C24" s="52"/>
      <c r="D24" s="53">
        <f>'Profit &amp; Loss'!B8</f>
        <v>275.58</v>
      </c>
      <c r="E24" s="53">
        <f>'Profit &amp; Loss'!C8</f>
        <v>334.79</v>
      </c>
      <c r="F24" s="53">
        <f>'Profit &amp; Loss'!D8</f>
        <v>360.47</v>
      </c>
      <c r="G24" s="53">
        <f>'Profit &amp; Loss'!E8</f>
        <v>622.14</v>
      </c>
      <c r="H24" s="53">
        <f>'Profit &amp; Loss'!F8</f>
        <v>780.5</v>
      </c>
      <c r="I24" s="53">
        <f>'Profit &amp; Loss'!G8</f>
        <v>791.27</v>
      </c>
      <c r="J24" s="53">
        <f>'Profit &amp; Loss'!H8</f>
        <v>816.36</v>
      </c>
      <c r="K24" s="53">
        <f>'Profit &amp; Loss'!I8</f>
        <v>858.02</v>
      </c>
      <c r="L24" s="53">
        <f>'Profit &amp; Loss'!J8</f>
        <v>853</v>
      </c>
      <c r="M24" s="53">
        <f>'Profit &amp; Loss'!K8</f>
        <v>1026.3399999999999</v>
      </c>
      <c r="N24" s="41"/>
      <c r="O24" s="41"/>
    </row>
    <row r="25" spans="2:15" x14ac:dyDescent="0.35">
      <c r="B25" s="55" t="s">
        <v>161</v>
      </c>
      <c r="C25" s="56"/>
      <c r="D25" s="59">
        <f>D24/D9</f>
        <v>1.9309826794539322E-2</v>
      </c>
      <c r="E25" s="59">
        <f t="shared" ref="E25:M25" si="6">E24/E9</f>
        <v>2.2227474590011016E-2</v>
      </c>
      <c r="F25" s="59">
        <f t="shared" si="6"/>
        <v>2.1425238713665449E-2</v>
      </c>
      <c r="G25" s="59">
        <f t="shared" si="6"/>
        <v>3.2335540352378074E-2</v>
      </c>
      <c r="H25" s="59">
        <f t="shared" si="6"/>
        <v>3.8617106809326486E-2</v>
      </c>
      <c r="I25" s="59">
        <f t="shared" si="6"/>
        <v>3.6442576011650275E-2</v>
      </c>
      <c r="J25" s="59">
        <f t="shared" si="6"/>
        <v>2.8052374328551871E-2</v>
      </c>
      <c r="K25" s="59">
        <f t="shared" si="6"/>
        <v>2.4878372818372688E-2</v>
      </c>
      <c r="L25" s="59">
        <f t="shared" si="6"/>
        <v>2.4031736542297968E-2</v>
      </c>
      <c r="M25" s="59">
        <f t="shared" si="6"/>
        <v>3.0270497929251843E-2</v>
      </c>
      <c r="N25" s="27"/>
      <c r="O25" s="27"/>
    </row>
    <row r="26" spans="2:15" x14ac:dyDescent="0.35">
      <c r="B26" s="36"/>
      <c r="C26" s="31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27"/>
      <c r="O26" s="27"/>
    </row>
    <row r="27" spans="2:15" x14ac:dyDescent="0.35">
      <c r="B27" s="51" t="s">
        <v>85</v>
      </c>
      <c r="C27" s="52"/>
      <c r="D27" s="53">
        <f>IFERROR(SUM('Profit &amp; Loss'!B6:B7),0)-'Profit &amp; Loss'!B8</f>
        <v>2662.8500000000026</v>
      </c>
      <c r="E27" s="53">
        <f>IFERROR(SUM('Profit &amp; Loss'!C6:C7),0)-'Profit &amp; Loss'!C8</f>
        <v>2996.8700000000003</v>
      </c>
      <c r="F27" s="53">
        <f>IFERROR(SUM('Profit &amp; Loss'!D6:D7),0)-'Profit &amp; Loss'!D8</f>
        <v>3179.95</v>
      </c>
      <c r="G27" s="53">
        <f>IFERROR(SUM('Profit &amp; Loss'!E6:E7),0)-'Profit &amp; Loss'!E8</f>
        <v>3416.5700000000024</v>
      </c>
      <c r="H27" s="53">
        <f>IFERROR(SUM('Profit &amp; Loss'!F6:F7),0)-'Profit &amp; Loss'!F8</f>
        <v>3731.3699999999981</v>
      </c>
      <c r="I27" s="53">
        <f>IFERROR(SUM('Profit &amp; Loss'!G6:G7),0)-'Profit &amp; Loss'!G8</f>
        <v>4395.9800000000014</v>
      </c>
      <c r="J27" s="53">
        <f>IFERROR(SUM('Profit &amp; Loss'!H6:H7),0)-'Profit &amp; Loss'!H8</f>
        <v>4283.130000000001</v>
      </c>
      <c r="K27" s="53">
        <f>IFERROR(SUM('Profit &amp; Loss'!I6:I7),0)-'Profit &amp; Loss'!I8</f>
        <v>5833.279999999997</v>
      </c>
      <c r="L27" s="53">
        <f>IFERROR(SUM('Profit &amp; Loss'!J6:J7),0)-'Profit &amp; Loss'!J8</f>
        <v>7552.9399999999987</v>
      </c>
      <c r="M27" s="53">
        <f>IFERROR(SUM('Profit &amp; Loss'!K6:K7),0)-'Profit &amp; Loss'!K8</f>
        <v>5330.0900000000029</v>
      </c>
      <c r="N27" s="24"/>
      <c r="O27" s="24"/>
    </row>
    <row r="28" spans="2:15" x14ac:dyDescent="0.35">
      <c r="B28" s="55" t="s">
        <v>88</v>
      </c>
      <c r="C28" s="56"/>
      <c r="D28" s="59">
        <f>IFERROR(D27/D9,0)</f>
        <v>0.18658528296624968</v>
      </c>
      <c r="E28" s="59">
        <f t="shared" ref="E28:M28" si="7">IFERROR(E27/E9,0)</f>
        <v>0.19896906052918642</v>
      </c>
      <c r="F28" s="59">
        <f t="shared" si="7"/>
        <v>0.18900654103675879</v>
      </c>
      <c r="G28" s="59">
        <f t="shared" si="7"/>
        <v>0.1775752034939474</v>
      </c>
      <c r="H28" s="59">
        <f t="shared" si="7"/>
        <v>0.18461846743768931</v>
      </c>
      <c r="I28" s="59">
        <f t="shared" si="7"/>
        <v>0.20246039315997627</v>
      </c>
      <c r="J28" s="59">
        <f t="shared" si="7"/>
        <v>0.14718012403578129</v>
      </c>
      <c r="K28" s="59">
        <f t="shared" si="7"/>
        <v>0.16913651732355534</v>
      </c>
      <c r="L28" s="59">
        <f t="shared" si="7"/>
        <v>0.2127904621333927</v>
      </c>
      <c r="M28" s="59">
        <f t="shared" si="7"/>
        <v>0.15720373200667034</v>
      </c>
      <c r="N28" s="34"/>
      <c r="O28" s="26"/>
    </row>
    <row r="29" spans="2:15" x14ac:dyDescent="0.35">
      <c r="B29" s="37"/>
      <c r="C29" s="31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24"/>
      <c r="O29" s="28"/>
    </row>
    <row r="30" spans="2:15" x14ac:dyDescent="0.35">
      <c r="B30" s="51" t="s">
        <v>11</v>
      </c>
      <c r="C30" s="52"/>
      <c r="D30" s="53">
        <f>IFERROR('Profit &amp; Loss'!B9,0)</f>
        <v>49</v>
      </c>
      <c r="E30" s="53">
        <f>IFERROR('Profit &amp; Loss'!C9,0)</f>
        <v>37.33</v>
      </c>
      <c r="F30" s="53">
        <f>IFERROR('Profit &amp; Loss'!D9,0)</f>
        <v>41.47</v>
      </c>
      <c r="G30" s="53">
        <f>IFERROR('Profit &amp; Loss'!E9,0)</f>
        <v>110.47</v>
      </c>
      <c r="H30" s="53">
        <f>IFERROR('Profit &amp; Loss'!F9,0)</f>
        <v>102.33</v>
      </c>
      <c r="I30" s="53">
        <f>IFERROR('Profit &amp; Loss'!G9,0)</f>
        <v>91.63</v>
      </c>
      <c r="J30" s="53">
        <f>IFERROR('Profit &amp; Loss'!H9,0)</f>
        <v>95.41</v>
      </c>
      <c r="K30" s="53">
        <f>IFERROR('Profit &amp; Loss'!I9,0)</f>
        <v>144.44999999999999</v>
      </c>
      <c r="L30" s="53">
        <f>IFERROR('Profit &amp; Loss'!J9,0)</f>
        <v>205.17</v>
      </c>
      <c r="M30" s="53">
        <f>IFERROR('Profit &amp; Loss'!K9,0)</f>
        <v>227.02</v>
      </c>
      <c r="N30" s="40"/>
      <c r="O30" s="40"/>
    </row>
    <row r="31" spans="2:15" x14ac:dyDescent="0.35">
      <c r="B31" s="55" t="s">
        <v>89</v>
      </c>
      <c r="C31" s="56"/>
      <c r="D31" s="60">
        <f>IFERROR(D30/D9,0)</f>
        <v>3.4334186549547386E-3</v>
      </c>
      <c r="E31" s="60">
        <f t="shared" ref="E31:M31" si="8">IFERROR(E30/E9,0)</f>
        <v>2.4784241657310885E-3</v>
      </c>
      <c r="F31" s="60">
        <f t="shared" si="8"/>
        <v>2.4648504714836358E-3</v>
      </c>
      <c r="G31" s="60">
        <f t="shared" si="8"/>
        <v>5.7416451967840128E-3</v>
      </c>
      <c r="H31" s="60">
        <f t="shared" si="8"/>
        <v>5.0630218319005502E-3</v>
      </c>
      <c r="I31" s="60">
        <f t="shared" si="8"/>
        <v>4.2200933182700148E-3</v>
      </c>
      <c r="J31" s="60">
        <f t="shared" si="8"/>
        <v>3.2785499469439143E-3</v>
      </c>
      <c r="K31" s="60">
        <f t="shared" si="8"/>
        <v>4.1883417095335005E-3</v>
      </c>
      <c r="L31" s="60">
        <f t="shared" si="8"/>
        <v>5.7802947085384216E-3</v>
      </c>
      <c r="M31" s="60">
        <f t="shared" si="8"/>
        <v>6.6956451467337858E-3</v>
      </c>
      <c r="N31" s="29"/>
      <c r="O31" s="29"/>
    </row>
    <row r="32" spans="2:15" x14ac:dyDescent="0.35">
      <c r="B32" s="36"/>
      <c r="C32" s="31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25"/>
      <c r="O32" s="25"/>
    </row>
    <row r="33" spans="2:15" x14ac:dyDescent="0.35">
      <c r="B33" s="51" t="s">
        <v>84</v>
      </c>
      <c r="C33" s="52"/>
      <c r="D33" s="53">
        <f>'Profit &amp; Loss'!B10</f>
        <v>2613.85</v>
      </c>
      <c r="E33" s="53">
        <f>IFERROR('Profit &amp; Loss'!C10,0)</f>
        <v>2959.54</v>
      </c>
      <c r="F33" s="53">
        <f>IFERROR('Profit &amp; Loss'!D10,0)</f>
        <v>3138.48</v>
      </c>
      <c r="G33" s="53">
        <f>IFERROR('Profit &amp; Loss'!E10,0)</f>
        <v>3306.1</v>
      </c>
      <c r="H33" s="53">
        <f>IFERROR('Profit &amp; Loss'!F10,0)</f>
        <v>3629.04</v>
      </c>
      <c r="I33" s="53">
        <f>IFERROR('Profit &amp; Loss'!G10,0)</f>
        <v>4304.3500000000004</v>
      </c>
      <c r="J33" s="53">
        <f>IFERROR('Profit &amp; Loss'!H10,0)</f>
        <v>4187.72</v>
      </c>
      <c r="K33" s="53">
        <f>IFERROR('Profit &amp; Loss'!I10,0)</f>
        <v>5688.83</v>
      </c>
      <c r="L33" s="53">
        <f>IFERROR('Profit &amp; Loss'!J10,0)</f>
        <v>7347.77</v>
      </c>
      <c r="M33" s="53">
        <f>IFERROR('Profit &amp; Loss'!K10,0)</f>
        <v>5103.07</v>
      </c>
      <c r="N33" s="24"/>
      <c r="O33" s="24"/>
    </row>
    <row r="34" spans="2:15" x14ac:dyDescent="0.35">
      <c r="B34" s="55" t="s">
        <v>90</v>
      </c>
      <c r="C34" s="56"/>
      <c r="D34" s="59">
        <f>IFERROR(D33/D9,0)</f>
        <v>0.18315186431129477</v>
      </c>
      <c r="E34" s="59">
        <f t="shared" ref="E34:M34" si="9">IFERROR(E33/E9,0)</f>
        <v>0.19649063636345529</v>
      </c>
      <c r="F34" s="59">
        <f t="shared" si="9"/>
        <v>0.18654169056527517</v>
      </c>
      <c r="G34" s="59">
        <f t="shared" si="9"/>
        <v>0.17183355829716326</v>
      </c>
      <c r="H34" s="59">
        <f t="shared" si="9"/>
        <v>0.17955544560578884</v>
      </c>
      <c r="I34" s="59">
        <f t="shared" si="9"/>
        <v>0.19824029984170621</v>
      </c>
      <c r="J34" s="59">
        <f t="shared" si="9"/>
        <v>0.14390157408883733</v>
      </c>
      <c r="K34" s="59">
        <f t="shared" si="9"/>
        <v>0.16494817561402192</v>
      </c>
      <c r="L34" s="59">
        <f t="shared" si="9"/>
        <v>0.20701016742485434</v>
      </c>
      <c r="M34" s="59">
        <f t="shared" si="9"/>
        <v>0.15050808685993647</v>
      </c>
      <c r="N34" s="27"/>
      <c r="O34" s="27"/>
    </row>
    <row r="36" spans="2:15" x14ac:dyDescent="0.35">
      <c r="B36" s="51" t="s">
        <v>13</v>
      </c>
      <c r="C36" s="52"/>
      <c r="D36" s="53">
        <f>IFERROR('Profit &amp; Loss'!B11,0)</f>
        <v>844.49</v>
      </c>
      <c r="E36" s="53">
        <f>IFERROR('Profit &amp; Loss'!C11,0)</f>
        <v>943.29</v>
      </c>
      <c r="F36" s="53">
        <f>IFERROR('Profit &amp; Loss'!D11,0)</f>
        <v>1040.96</v>
      </c>
      <c r="G36" s="53">
        <f>IFERROR('Profit &amp; Loss'!E11,0)</f>
        <v>1098.06</v>
      </c>
      <c r="H36" s="53">
        <f>IFERROR('Profit &amp; Loss'!F11,0)</f>
        <v>854.85</v>
      </c>
      <c r="I36" s="53">
        <f>IFERROR('Profit &amp; Loss'!G11,0)</f>
        <v>1097.5999999999999</v>
      </c>
      <c r="J36" s="53">
        <f>IFERROR('Profit &amp; Loss'!H11,0)</f>
        <v>1102.9100000000001</v>
      </c>
      <c r="K36" s="53">
        <f>IFERROR('Profit &amp; Loss'!I11,0)</f>
        <v>1493.5</v>
      </c>
      <c r="L36" s="53">
        <f>IFERROR('Profit &amp; Loss'!J11,0)</f>
        <v>1790.08</v>
      </c>
      <c r="M36" s="53">
        <f>IFERROR('Profit &amp; Loss'!K11,0)</f>
        <v>1393.36</v>
      </c>
    </row>
    <row r="37" spans="2:15" x14ac:dyDescent="0.35">
      <c r="B37" s="55" t="s">
        <v>91</v>
      </c>
      <c r="C37" s="56"/>
      <c r="D37" s="59">
        <f>IFERROR(D36/D33,0)</f>
        <v>0.32308280888344781</v>
      </c>
      <c r="E37" s="59">
        <f t="shared" ref="E37:M37" si="10">IFERROR(E36/E33,0)</f>
        <v>0.31872858619920663</v>
      </c>
      <c r="F37" s="59">
        <f t="shared" si="10"/>
        <v>0.33167648033442942</v>
      </c>
      <c r="G37" s="59">
        <f t="shared" si="10"/>
        <v>0.3321315144732464</v>
      </c>
      <c r="H37" s="59">
        <f t="shared" si="10"/>
        <v>0.23555816414258318</v>
      </c>
      <c r="I37" s="59">
        <f t="shared" si="10"/>
        <v>0.25499785101118633</v>
      </c>
      <c r="J37" s="59">
        <f t="shared" si="10"/>
        <v>0.26336765590822692</v>
      </c>
      <c r="K37" s="59">
        <f t="shared" si="10"/>
        <v>0.26253201449155628</v>
      </c>
      <c r="L37" s="59">
        <f t="shared" si="10"/>
        <v>0.24362221463110573</v>
      </c>
      <c r="M37" s="59">
        <f t="shared" si="10"/>
        <v>0.27304348166887776</v>
      </c>
    </row>
    <row r="39" spans="2:15" x14ac:dyDescent="0.35">
      <c r="B39" s="51" t="s">
        <v>92</v>
      </c>
      <c r="C39" s="52"/>
      <c r="D39" s="53">
        <f>IFERROR('Profit &amp; Loss'!B12,0)</f>
        <v>1745.16</v>
      </c>
      <c r="E39" s="53">
        <f>IFERROR('Profit &amp; Loss'!C12,0)</f>
        <v>1939.43</v>
      </c>
      <c r="F39" s="53">
        <f>IFERROR('Profit &amp; Loss'!D12,0)</f>
        <v>2038.93</v>
      </c>
      <c r="G39" s="53">
        <f>IFERROR('Profit &amp; Loss'!E12,0)</f>
        <v>2155.92</v>
      </c>
      <c r="H39" s="53">
        <f>IFERROR('Profit &amp; Loss'!F12,0)</f>
        <v>2705.17</v>
      </c>
      <c r="I39" s="53">
        <f>IFERROR('Profit &amp; Loss'!G12,0)</f>
        <v>3139.29</v>
      </c>
      <c r="J39" s="53">
        <f>IFERROR('Profit &amp; Loss'!H12,0)</f>
        <v>3030.57</v>
      </c>
      <c r="K39" s="53">
        <f>IFERROR('Profit &amp; Loss'!I12,0)</f>
        <v>4106.45</v>
      </c>
      <c r="L39" s="53">
        <f>IFERROR('Profit &amp; Loss'!J12,0)</f>
        <v>5460.23</v>
      </c>
      <c r="M39" s="53">
        <f>IFERROR('Profit &amp; Loss'!K12,0)</f>
        <v>3667.23</v>
      </c>
    </row>
    <row r="40" spans="2:15" x14ac:dyDescent="0.35">
      <c r="B40" s="55" t="s">
        <v>93</v>
      </c>
      <c r="C40" s="56"/>
      <c r="D40" s="59">
        <f>IFERROR(D39/D9,0)</f>
        <v>0.12228295714042473</v>
      </c>
      <c r="E40" s="59">
        <f t="shared" ref="E40:M40" si="11">IFERROR(E39/E9,0)</f>
        <v>0.12876319795724203</v>
      </c>
      <c r="F40" s="59">
        <f t="shared" si="11"/>
        <v>0.12118778808348515</v>
      </c>
      <c r="G40" s="59">
        <f t="shared" si="11"/>
        <v>0.11205329693718286</v>
      </c>
      <c r="H40" s="59">
        <f t="shared" si="11"/>
        <v>0.13384476467313997</v>
      </c>
      <c r="I40" s="59">
        <f t="shared" si="11"/>
        <v>0.14458252486207437</v>
      </c>
      <c r="J40" s="59">
        <f t="shared" si="11"/>
        <v>0.10413871829692715</v>
      </c>
      <c r="K40" s="59">
        <f t="shared" si="11"/>
        <v>0.11906691459407301</v>
      </c>
      <c r="L40" s="59">
        <f t="shared" si="11"/>
        <v>0.15383213226301479</v>
      </c>
      <c r="M40" s="59">
        <f t="shared" si="11"/>
        <v>0.10815994516543274</v>
      </c>
    </row>
    <row r="42" spans="2:15" x14ac:dyDescent="0.35">
      <c r="B42" s="51" t="s">
        <v>94</v>
      </c>
      <c r="C42" s="51"/>
      <c r="D42" s="57">
        <f>IFERROR('Data Sheet'!B93,0)</f>
        <v>95.92</v>
      </c>
      <c r="E42" s="57">
        <f>IFERROR('Data Sheet'!C93,0)</f>
        <v>95.92</v>
      </c>
      <c r="F42" s="57">
        <f>IFERROR('Data Sheet'!D93,0)</f>
        <v>95.92</v>
      </c>
      <c r="G42" s="57">
        <f>IFERROR('Data Sheet'!E93,0)</f>
        <v>95.92</v>
      </c>
      <c r="H42" s="57">
        <f>IFERROR('Data Sheet'!F93,0)</f>
        <v>95.92</v>
      </c>
      <c r="I42" s="57">
        <f>IFERROR('Data Sheet'!G93,0)</f>
        <v>95.92</v>
      </c>
      <c r="J42" s="57">
        <f>IFERROR('Data Sheet'!H93,0)</f>
        <v>95.92</v>
      </c>
      <c r="K42" s="57">
        <f>IFERROR('Data Sheet'!I93,0)</f>
        <v>95.92</v>
      </c>
      <c r="L42" s="57">
        <f>IFERROR('Data Sheet'!J93,0)</f>
        <v>95.92</v>
      </c>
      <c r="M42" s="57">
        <f>IFERROR('Data Sheet'!K93,0)</f>
        <v>95.92</v>
      </c>
    </row>
    <row r="44" spans="2:15" x14ac:dyDescent="0.35">
      <c r="B44" s="51" t="s">
        <v>96</v>
      </c>
      <c r="C44" s="52"/>
      <c r="D44" s="53">
        <f>IFERROR('Profit &amp; Loss'!B13,0)</f>
        <v>18.193911592994162</v>
      </c>
      <c r="E44" s="53">
        <f>IFERROR('Profit &amp; Loss'!C13,0)</f>
        <v>20.219245204336946</v>
      </c>
      <c r="F44" s="53">
        <f>IFERROR('Profit &amp; Loss'!D13,0)</f>
        <v>21.256567973311093</v>
      </c>
      <c r="G44" s="53">
        <f>IFERROR('Profit &amp; Loss'!E13,0)</f>
        <v>22.476230191826524</v>
      </c>
      <c r="H44" s="53">
        <f>IFERROR('Profit &amp; Loss'!F13,0)</f>
        <v>28.202356130108424</v>
      </c>
      <c r="I44" s="53">
        <f>IFERROR('Profit &amp; Loss'!G13,0)</f>
        <v>32.728211009174309</v>
      </c>
      <c r="J44" s="53">
        <f>IFERROR('Profit &amp; Loss'!H13,0)</f>
        <v>31.594766472060051</v>
      </c>
      <c r="K44" s="53">
        <f>IFERROR('Profit &amp; Loss'!I13,0)</f>
        <v>42.811196830692239</v>
      </c>
      <c r="L44" s="53">
        <f>IFERROR('Profit &amp; Loss'!J13,0)</f>
        <v>56.924833194328599</v>
      </c>
      <c r="M44" s="53">
        <f>IFERROR('Profit &amp; Loss'!K13,0)</f>
        <v>38.232172643869895</v>
      </c>
    </row>
    <row r="45" spans="2:15" x14ac:dyDescent="0.35">
      <c r="B45" s="55" t="s">
        <v>95</v>
      </c>
      <c r="C45" s="56"/>
      <c r="D45" s="59"/>
      <c r="E45" s="59">
        <f>IFERROR(E44/D44-1,0)</f>
        <v>0.11131930596621498</v>
      </c>
      <c r="F45" s="59">
        <f t="shared" ref="F45:M45" si="12">IFERROR(F44/E44-1,0)</f>
        <v>5.130373357120388E-2</v>
      </c>
      <c r="G45" s="59">
        <f t="shared" si="12"/>
        <v>5.7378134609819886E-2</v>
      </c>
      <c r="H45" s="59">
        <f t="shared" si="12"/>
        <v>0.25476362759286042</v>
      </c>
      <c r="I45" s="59">
        <f t="shared" si="12"/>
        <v>0.16047789972534066</v>
      </c>
      <c r="J45" s="59">
        <f t="shared" si="12"/>
        <v>-3.4632034632034459E-2</v>
      </c>
      <c r="K45" s="59">
        <f t="shared" si="12"/>
        <v>0.35500912369620208</v>
      </c>
      <c r="L45" s="59">
        <f t="shared" si="12"/>
        <v>0.32967161416795521</v>
      </c>
      <c r="M45" s="59">
        <f t="shared" si="12"/>
        <v>-0.32837444576510499</v>
      </c>
    </row>
    <row r="47" spans="2:15" x14ac:dyDescent="0.35">
      <c r="B47" s="51" t="s">
        <v>97</v>
      </c>
      <c r="C47" s="52"/>
      <c r="D47" s="53">
        <f>IFERROR('Data Sheet'!B31/FS!D42,0)</f>
        <v>7.5</v>
      </c>
      <c r="E47" s="53">
        <f>IFERROR('Data Sheet'!C31/FS!E42,0)</f>
        <v>10.300041701417848</v>
      </c>
      <c r="F47" s="53">
        <f>IFERROR('Data Sheet'!D31/FS!F42,0)</f>
        <v>8.6999582985821515</v>
      </c>
      <c r="G47" s="53">
        <f>IFERROR('Data Sheet'!E31/FS!G42,0)</f>
        <v>10.5</v>
      </c>
      <c r="H47" s="53">
        <f>IFERROR('Data Sheet'!F31/FS!H42,0)</f>
        <v>12</v>
      </c>
      <c r="I47" s="53">
        <f>IFERROR('Data Sheet'!G31/FS!I42,0)</f>
        <v>17.849979149291077</v>
      </c>
      <c r="J47" s="53">
        <f>IFERROR('Data Sheet'!H31/FS!J42,0)</f>
        <v>19.150020850708923</v>
      </c>
      <c r="K47" s="53">
        <f>IFERROR('Data Sheet'!I31/FS!K42,0)</f>
        <v>25.650020850708923</v>
      </c>
      <c r="L47" s="53">
        <f>IFERROR('Data Sheet'!J31/FS!L42,0)</f>
        <v>33.300041701417847</v>
      </c>
      <c r="M47" s="53">
        <f>IFERROR('Data Sheet'!K31/FS!M42,0)</f>
        <v>24.80004170141785</v>
      </c>
    </row>
    <row r="48" spans="2:15" x14ac:dyDescent="0.35">
      <c r="B48" s="55" t="s">
        <v>99</v>
      </c>
      <c r="C48" s="56"/>
      <c r="D48" s="59">
        <f>IFERROR(D47/D44,0)</f>
        <v>0.41222581310596162</v>
      </c>
      <c r="E48" s="59">
        <f t="shared" ref="E48:M48" si="13">IFERROR(E47/E44,0)</f>
        <v>0.50941771551435222</v>
      </c>
      <c r="F48" s="59">
        <f t="shared" si="13"/>
        <v>0.40928330055470269</v>
      </c>
      <c r="G48" s="59">
        <f t="shared" si="13"/>
        <v>0.46716019147278187</v>
      </c>
      <c r="H48" s="59">
        <f t="shared" si="13"/>
        <v>0.42549636436896759</v>
      </c>
      <c r="I48" s="59">
        <f t="shared" si="13"/>
        <v>0.54540039308251231</v>
      </c>
      <c r="J48" s="59">
        <f t="shared" si="13"/>
        <v>0.6061137013829081</v>
      </c>
      <c r="K48" s="59">
        <f t="shared" si="13"/>
        <v>0.59914281191783658</v>
      </c>
      <c r="L48" s="59">
        <f t="shared" si="13"/>
        <v>0.58498268387961683</v>
      </c>
      <c r="M48" s="59">
        <f t="shared" si="13"/>
        <v>0.64866943169640301</v>
      </c>
    </row>
    <row r="50" spans="1:13" x14ac:dyDescent="0.35">
      <c r="B50" s="2" t="s">
        <v>98</v>
      </c>
      <c r="C50" s="2"/>
      <c r="D50" s="58">
        <f>IFERROR(IF(D44&gt;D47,1-D48,0),0)</f>
        <v>0.58777418689403838</v>
      </c>
      <c r="E50" s="58">
        <f t="shared" ref="E50:M50" si="14">IFERROR(IF(E44&gt;E47,1-E48,0),0)</f>
        <v>0.49058228448564778</v>
      </c>
      <c r="F50" s="58">
        <f t="shared" si="14"/>
        <v>0.59071669944529726</v>
      </c>
      <c r="G50" s="58">
        <f t="shared" si="14"/>
        <v>0.53283980852721813</v>
      </c>
      <c r="H50" s="58">
        <f t="shared" si="14"/>
        <v>0.57450363563103246</v>
      </c>
      <c r="I50" s="58">
        <f t="shared" si="14"/>
        <v>0.45459960691748769</v>
      </c>
      <c r="J50" s="58">
        <f t="shared" si="14"/>
        <v>0.3938862986170919</v>
      </c>
      <c r="K50" s="58">
        <f t="shared" si="14"/>
        <v>0.40085718808216342</v>
      </c>
      <c r="L50" s="58">
        <f t="shared" si="14"/>
        <v>0.41501731612038317</v>
      </c>
      <c r="M50" s="58">
        <f t="shared" si="14"/>
        <v>0.35133056830359699</v>
      </c>
    </row>
    <row r="53" spans="1:13" x14ac:dyDescent="0.35">
      <c r="A53" s="2" t="s">
        <v>82</v>
      </c>
      <c r="B53" s="50" t="str">
        <f>"Balance Sheet - " &amp;'Data Sheet'!$B$1</f>
        <v>Balance Sheet - ASIAN PAINTS LTD</v>
      </c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9"/>
    </row>
    <row r="54" spans="1:13" ht="2.5" customHeight="1" x14ac:dyDescent="0.35"/>
    <row r="55" spans="1:13" x14ac:dyDescent="0.35">
      <c r="B55" s="2" t="s">
        <v>24</v>
      </c>
      <c r="D55" s="68">
        <f>IFERROR('Balance Sheet'!B4,0)</f>
        <v>95.92</v>
      </c>
      <c r="E55" s="68">
        <f>IFERROR('Balance Sheet'!C4,0)</f>
        <v>95.92</v>
      </c>
      <c r="F55" s="68">
        <f>IFERROR('Balance Sheet'!D4,0)</f>
        <v>95.92</v>
      </c>
      <c r="G55" s="68">
        <f>IFERROR('Balance Sheet'!E4,0)</f>
        <v>95.92</v>
      </c>
      <c r="H55" s="68">
        <f>IFERROR('Balance Sheet'!F4,0)</f>
        <v>95.92</v>
      </c>
      <c r="I55" s="68">
        <f>IFERROR('Balance Sheet'!G4,0)</f>
        <v>95.92</v>
      </c>
      <c r="J55" s="68">
        <f>IFERROR('Balance Sheet'!H4,0)</f>
        <v>95.92</v>
      </c>
      <c r="K55" s="68">
        <f>IFERROR('Balance Sheet'!I4,0)</f>
        <v>95.92</v>
      </c>
      <c r="L55" s="68">
        <f>IFERROR('Balance Sheet'!J4,0)</f>
        <v>95.92</v>
      </c>
      <c r="M55" s="68">
        <f>IFERROR('Balance Sheet'!K4,0)</f>
        <v>95.92</v>
      </c>
    </row>
    <row r="56" spans="1:13" x14ac:dyDescent="0.35">
      <c r="B56" s="2" t="s">
        <v>25</v>
      </c>
      <c r="D56" s="68">
        <f>IFERROR('Balance Sheet'!B5,0)</f>
        <v>6428.9</v>
      </c>
      <c r="E56" s="68">
        <f>IFERROR('Balance Sheet'!C5,0)</f>
        <v>7507.97</v>
      </c>
      <c r="F56" s="68">
        <f>IFERROR('Balance Sheet'!D5,0)</f>
        <v>8314.31</v>
      </c>
      <c r="G56" s="68">
        <f>IFERROR('Balance Sheet'!E5,0)</f>
        <v>9374.6299999999992</v>
      </c>
      <c r="H56" s="68">
        <f>IFERROR('Balance Sheet'!F5,0)</f>
        <v>10034.24</v>
      </c>
      <c r="I56" s="68">
        <f>IFERROR('Balance Sheet'!G5,0)</f>
        <v>12710.37</v>
      </c>
      <c r="J56" s="68">
        <f>IFERROR('Balance Sheet'!H5,0)</f>
        <v>13715.64</v>
      </c>
      <c r="K56" s="68">
        <f>IFERROR('Balance Sheet'!I5,0)</f>
        <v>15896.31</v>
      </c>
      <c r="L56" s="68">
        <f>IFERROR('Balance Sheet'!J5,0)</f>
        <v>18632.38</v>
      </c>
      <c r="M56" s="68">
        <f>IFERROR('Balance Sheet'!K5,0)</f>
        <v>19303.89</v>
      </c>
    </row>
    <row r="57" spans="1:13" x14ac:dyDescent="0.35">
      <c r="B57" s="2" t="s">
        <v>62</v>
      </c>
      <c r="D57" s="68">
        <f>IFERROR('Balance Sheet'!B6,0)</f>
        <v>323.29000000000002</v>
      </c>
      <c r="E57" s="68">
        <f>IFERROR('Balance Sheet'!C6,0)</f>
        <v>560.34</v>
      </c>
      <c r="F57" s="68">
        <f>IFERROR('Balance Sheet'!D6,0)</f>
        <v>533.42999999999995</v>
      </c>
      <c r="G57" s="68">
        <f>IFERROR('Balance Sheet'!E6,0)</f>
        <v>1319.6</v>
      </c>
      <c r="H57" s="68">
        <f>IFERROR('Balance Sheet'!F6,0)</f>
        <v>1118.5</v>
      </c>
      <c r="I57" s="68">
        <f>IFERROR('Balance Sheet'!G6,0)</f>
        <v>1093.1199999999999</v>
      </c>
      <c r="J57" s="68">
        <f>IFERROR('Balance Sheet'!H6,0)</f>
        <v>1586.88</v>
      </c>
      <c r="K57" s="68">
        <f>IFERROR('Balance Sheet'!I6,0)</f>
        <v>1932.62</v>
      </c>
      <c r="L57" s="68">
        <f>IFERROR('Balance Sheet'!J6,0)</f>
        <v>2474.38</v>
      </c>
      <c r="M57" s="68">
        <f>IFERROR('Balance Sheet'!K6,0)</f>
        <v>2290.29</v>
      </c>
    </row>
    <row r="58" spans="1:13" x14ac:dyDescent="0.35">
      <c r="B58" s="2" t="s">
        <v>63</v>
      </c>
      <c r="D58" s="68">
        <f>IFERROR('Balance Sheet'!B7,0)</f>
        <v>3710.92</v>
      </c>
      <c r="E58" s="68">
        <f>IFERROR('Balance Sheet'!C7,0)</f>
        <v>4240.96</v>
      </c>
      <c r="F58" s="68">
        <f>IFERROR('Balance Sheet'!D7,0)</f>
        <v>4819.82</v>
      </c>
      <c r="G58" s="68">
        <f>IFERROR('Balance Sheet'!E7,0)</f>
        <v>5458.69</v>
      </c>
      <c r="H58" s="68">
        <f>IFERROR('Balance Sheet'!F7,0)</f>
        <v>4889.3100000000004</v>
      </c>
      <c r="I58" s="68">
        <f>IFERROR('Balance Sheet'!G7,0)</f>
        <v>6455.93</v>
      </c>
      <c r="J58" s="68">
        <f>IFERROR('Balance Sheet'!H7,0)</f>
        <v>7559.99</v>
      </c>
      <c r="K58" s="68">
        <f>IFERROR('Balance Sheet'!I7,0)</f>
        <v>7854.48</v>
      </c>
      <c r="L58" s="68">
        <f>IFERROR('Balance Sheet'!J7,0)</f>
        <v>8698.09</v>
      </c>
      <c r="M58" s="68">
        <f>IFERROR('Balance Sheet'!K7,0)</f>
        <v>8665.15</v>
      </c>
    </row>
    <row r="59" spans="1:13" x14ac:dyDescent="0.35">
      <c r="B59" s="61" t="s">
        <v>100</v>
      </c>
      <c r="C59" s="61"/>
      <c r="D59" s="63">
        <f>IFERROR('Balance Sheet'!B8,0)</f>
        <v>10559.03</v>
      </c>
      <c r="E59" s="63">
        <f>IFERROR('Balance Sheet'!C8,0)</f>
        <v>12405.19</v>
      </c>
      <c r="F59" s="63">
        <f>IFERROR('Balance Sheet'!D8,0)</f>
        <v>13763.48</v>
      </c>
      <c r="G59" s="63">
        <f>IFERROR('Balance Sheet'!E8,0)</f>
        <v>16248.84</v>
      </c>
      <c r="H59" s="63">
        <f>IFERROR('Balance Sheet'!F8,0)</f>
        <v>16137.97</v>
      </c>
      <c r="I59" s="63">
        <f>IFERROR('Balance Sheet'!G8,0)</f>
        <v>20355.34</v>
      </c>
      <c r="J59" s="63">
        <f>IFERROR('Balance Sheet'!H8,0)</f>
        <v>22958.43</v>
      </c>
      <c r="K59" s="63">
        <f>IFERROR('Balance Sheet'!I8,0)</f>
        <v>25779.33</v>
      </c>
      <c r="L59" s="63">
        <f>IFERROR('Balance Sheet'!J8,0)</f>
        <v>29900.77</v>
      </c>
      <c r="M59" s="63">
        <f>IFERROR('Balance Sheet'!K8,0)</f>
        <v>30355.25</v>
      </c>
    </row>
    <row r="60" spans="1:13" x14ac:dyDescent="0.35">
      <c r="B60" s="2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spans="1:13" x14ac:dyDescent="0.35">
      <c r="B61" s="2" t="s">
        <v>27</v>
      </c>
      <c r="D61" s="68">
        <f>IFERROR('Balance Sheet'!B10,0)</f>
        <v>3416.35</v>
      </c>
      <c r="E61" s="68">
        <f>IFERROR('Balance Sheet'!C10,0)</f>
        <v>3303.74</v>
      </c>
      <c r="F61" s="68">
        <f>IFERROR('Balance Sheet'!D10,0)</f>
        <v>3732.24</v>
      </c>
      <c r="G61" s="68">
        <f>IFERROR('Balance Sheet'!E10,0)</f>
        <v>6496.56</v>
      </c>
      <c r="H61" s="68">
        <f>IFERROR('Balance Sheet'!F10,0)</f>
        <v>6272.31</v>
      </c>
      <c r="I61" s="68">
        <f>IFERROR('Balance Sheet'!G10,0)</f>
        <v>5858.52</v>
      </c>
      <c r="J61" s="68">
        <f>IFERROR('Balance Sheet'!H10,0)</f>
        <v>5519.06</v>
      </c>
      <c r="K61" s="68">
        <f>IFERROR('Balance Sheet'!I10,0)</f>
        <v>5770.46</v>
      </c>
      <c r="L61" s="68">
        <f>IFERROR('Balance Sheet'!J10,0)</f>
        <v>7146.62</v>
      </c>
      <c r="M61" s="68">
        <f>IFERROR('Balance Sheet'!K10,0)</f>
        <v>9220.1</v>
      </c>
    </row>
    <row r="62" spans="1:13" x14ac:dyDescent="0.35">
      <c r="B62" s="2" t="s">
        <v>28</v>
      </c>
      <c r="D62" s="68">
        <f>IFERROR('Balance Sheet'!B11,0)</f>
        <v>106.59</v>
      </c>
      <c r="E62" s="68">
        <f>IFERROR('Balance Sheet'!C11,0)</f>
        <v>257.54000000000002</v>
      </c>
      <c r="F62" s="68">
        <f>IFERROR('Balance Sheet'!D11,0)</f>
        <v>1405.11</v>
      </c>
      <c r="G62" s="68">
        <f>IFERROR('Balance Sheet'!E11,0)</f>
        <v>209.67</v>
      </c>
      <c r="H62" s="68">
        <f>IFERROR('Balance Sheet'!F11,0)</f>
        <v>140.24</v>
      </c>
      <c r="I62" s="68">
        <f>IFERROR('Balance Sheet'!G11,0)</f>
        <v>182.98</v>
      </c>
      <c r="J62" s="68">
        <f>IFERROR('Balance Sheet'!H11,0)</f>
        <v>426.43</v>
      </c>
      <c r="K62" s="68">
        <f>IFERROR('Balance Sheet'!I11,0)</f>
        <v>1019.59</v>
      </c>
      <c r="L62" s="68">
        <f>IFERROR('Balance Sheet'!J11,0)</f>
        <v>2698.37</v>
      </c>
      <c r="M62" s="68">
        <f>IFERROR('Balance Sheet'!K11,0)</f>
        <v>1254.49</v>
      </c>
    </row>
    <row r="63" spans="1:13" x14ac:dyDescent="0.35">
      <c r="B63" s="2" t="s">
        <v>29</v>
      </c>
      <c r="D63" s="68">
        <f>IFERROR('Balance Sheet'!B12,0)</f>
        <v>2712.13</v>
      </c>
      <c r="E63" s="68">
        <f>IFERROR('Balance Sheet'!C12,0)</f>
        <v>2651.99</v>
      </c>
      <c r="F63" s="68">
        <f>IFERROR('Balance Sheet'!D12,0)</f>
        <v>2140.6999999999998</v>
      </c>
      <c r="G63" s="68">
        <f>IFERROR('Balance Sheet'!E12,0)</f>
        <v>2568.58</v>
      </c>
      <c r="H63" s="68">
        <f>IFERROR('Balance Sheet'!F12,0)</f>
        <v>2018.85</v>
      </c>
      <c r="I63" s="68">
        <f>IFERROR('Balance Sheet'!G12,0)</f>
        <v>4736.8</v>
      </c>
      <c r="J63" s="68">
        <f>IFERROR('Balance Sheet'!H12,0)</f>
        <v>3247.53</v>
      </c>
      <c r="K63" s="68">
        <f>IFERROR('Balance Sheet'!I12,0)</f>
        <v>4261.71</v>
      </c>
      <c r="L63" s="68">
        <f>IFERROR('Balance Sheet'!J12,0)</f>
        <v>4587.92</v>
      </c>
      <c r="M63" s="68">
        <f>IFERROR('Balance Sheet'!K12,0)</f>
        <v>4724.75</v>
      </c>
    </row>
    <row r="64" spans="1:13" x14ac:dyDescent="0.35">
      <c r="B64" s="2" t="s">
        <v>64</v>
      </c>
      <c r="D64" s="68">
        <f>IFERROR('Balance Sheet'!B13-SUM('Balance Sheet'!B16:B18),0)</f>
        <v>525.84000000000015</v>
      </c>
      <c r="E64" s="68">
        <f>IFERROR('Balance Sheet'!C13-SUM('Balance Sheet'!C16:C18),0)</f>
        <v>167.42000000000007</v>
      </c>
      <c r="F64" s="68">
        <f>IFERROR('Balance Sheet'!D13-SUM('Balance Sheet'!D16:D18),0)</f>
        <v>430.8799999999992</v>
      </c>
      <c r="G64" s="68">
        <f>IFERROR('Balance Sheet'!E13-SUM('Balance Sheet'!E16:E18),0)</f>
        <v>401.49999999999909</v>
      </c>
      <c r="H64" s="68">
        <f>IFERROR('Balance Sheet'!F13-SUM('Balance Sheet'!F16:F18),0)</f>
        <v>-295.71999999999935</v>
      </c>
      <c r="I64" s="68">
        <f>IFERROR('Balance Sheet'!G13-SUM('Balance Sheet'!G16:G18),0)</f>
        <v>55.159999999999854</v>
      </c>
      <c r="J64" s="68">
        <f>IFERROR('Balance Sheet'!H13-SUM('Balance Sheet'!H16:H18),0)</f>
        <v>-2464.4300000000003</v>
      </c>
      <c r="K64" s="68">
        <f>IFERROR('Balance Sheet'!I13-SUM('Balance Sheet'!I16:I18),0)</f>
        <v>-2993.0999999999985</v>
      </c>
      <c r="L64" s="68">
        <f>IFERROR('Balance Sheet'!J13-SUM('Balance Sheet'!J16:J18),0)</f>
        <v>-2114.369999999999</v>
      </c>
      <c r="M64" s="68">
        <f>IFERROR('Balance Sheet'!K13-SUM('Balance Sheet'!K16:K18),0)</f>
        <v>-2367.7700000000004</v>
      </c>
    </row>
    <row r="65" spans="1:15" x14ac:dyDescent="0.35">
      <c r="B65" s="61" t="s">
        <v>102</v>
      </c>
      <c r="C65" s="61"/>
      <c r="D65" s="63">
        <f>IFERROR(SUM(D61:D64),0)</f>
        <v>6760.91</v>
      </c>
      <c r="E65" s="63">
        <f t="shared" ref="E65:M65" si="15">IFERROR(SUM(E61:E64),0)</f>
        <v>6380.69</v>
      </c>
      <c r="F65" s="63">
        <f t="shared" si="15"/>
        <v>7708.9299999999985</v>
      </c>
      <c r="G65" s="63">
        <f t="shared" si="15"/>
        <v>9676.3100000000013</v>
      </c>
      <c r="H65" s="63">
        <f t="shared" si="15"/>
        <v>8135.68</v>
      </c>
      <c r="I65" s="63">
        <f t="shared" si="15"/>
        <v>10833.46</v>
      </c>
      <c r="J65" s="63">
        <f t="shared" si="15"/>
        <v>6728.59</v>
      </c>
      <c r="K65" s="63">
        <f t="shared" si="15"/>
        <v>8058.6600000000017</v>
      </c>
      <c r="L65" s="63">
        <f t="shared" si="15"/>
        <v>12318.54</v>
      </c>
      <c r="M65" s="63">
        <f t="shared" si="15"/>
        <v>12831.57</v>
      </c>
    </row>
    <row r="66" spans="1:15" x14ac:dyDescent="0.35">
      <c r="B66" s="2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spans="1:15" x14ac:dyDescent="0.35">
      <c r="B67" s="2" t="s">
        <v>30</v>
      </c>
      <c r="D67" s="68">
        <f>IFERROR('Balance Sheet'!B16,0)</f>
        <v>613.04</v>
      </c>
      <c r="E67" s="68">
        <f>IFERROR('Balance Sheet'!C16,0)</f>
        <v>1950.96</v>
      </c>
      <c r="F67" s="68">
        <f>IFERROR('Balance Sheet'!D16,0)</f>
        <v>1665.6100000000006</v>
      </c>
      <c r="G67" s="68">
        <f>IFERROR('Balance Sheet'!E16,0)</f>
        <v>1515.3400000000001</v>
      </c>
      <c r="H67" s="68">
        <f>IFERROR('Balance Sheet'!F16,0)</f>
        <v>2817.2599999999993</v>
      </c>
      <c r="I67" s="68">
        <f>IFERROR('Balance Sheet'!G16,0)</f>
        <v>3121.1100000000006</v>
      </c>
      <c r="J67" s="68">
        <f>IFERROR('Balance Sheet'!H16,0)</f>
        <v>6205.42</v>
      </c>
      <c r="K67" s="68">
        <f>IFERROR('Balance Sheet'!I16,0)</f>
        <v>6873.09</v>
      </c>
      <c r="L67" s="68">
        <f>IFERROR('Balance Sheet'!J16,0)</f>
        <v>6769.77</v>
      </c>
      <c r="M67" s="68">
        <f>IFERROR('Balance Sheet'!K16,0)</f>
        <v>6490.76</v>
      </c>
    </row>
    <row r="68" spans="1:15" x14ac:dyDescent="0.35">
      <c r="B68" s="2" t="s">
        <v>44</v>
      </c>
      <c r="D68" s="68">
        <f>IFERROR('Balance Sheet'!B17,0)</f>
        <v>1186.8399999999999</v>
      </c>
      <c r="E68" s="68">
        <f>IFERROR('Balance Sheet'!C17,0)</f>
        <v>1446.6</v>
      </c>
      <c r="F68" s="68">
        <f>IFERROR('Balance Sheet'!D17,0)</f>
        <v>1730.63</v>
      </c>
      <c r="G68" s="68">
        <f>IFERROR('Balance Sheet'!E17,0)</f>
        <v>1907.33</v>
      </c>
      <c r="H68" s="68">
        <f>IFERROR('Balance Sheet'!F17,0)</f>
        <v>1795.22</v>
      </c>
      <c r="I68" s="68">
        <f>IFERROR('Balance Sheet'!G17,0)</f>
        <v>2602.17</v>
      </c>
      <c r="J68" s="68">
        <f>IFERROR('Balance Sheet'!H17,0)</f>
        <v>3871.44</v>
      </c>
      <c r="K68" s="68">
        <f>IFERROR('Balance Sheet'!I17,0)</f>
        <v>4636.9399999999996</v>
      </c>
      <c r="L68" s="68">
        <f>IFERROR('Balance Sheet'!J17,0)</f>
        <v>4889.05</v>
      </c>
      <c r="M68" s="68">
        <f>IFERROR('Balance Sheet'!K17,0)</f>
        <v>4313.6499999999996</v>
      </c>
    </row>
    <row r="69" spans="1:15" x14ac:dyDescent="0.35">
      <c r="B69" s="2" t="s">
        <v>45</v>
      </c>
      <c r="D69" s="68">
        <f>IFERROR('Balance Sheet'!B18,0)</f>
        <v>1998.24</v>
      </c>
      <c r="E69" s="68">
        <f>IFERROR('Balance Sheet'!C18,0)</f>
        <v>2626.94</v>
      </c>
      <c r="F69" s="68">
        <f>IFERROR('Balance Sheet'!D18,0)</f>
        <v>2658.31</v>
      </c>
      <c r="G69" s="68">
        <f>IFERROR('Balance Sheet'!E18,0)</f>
        <v>3149.86</v>
      </c>
      <c r="H69" s="68">
        <f>IFERROR('Balance Sheet'!F18,0)</f>
        <v>3389.81</v>
      </c>
      <c r="I69" s="68">
        <f>IFERROR('Balance Sheet'!G18,0)</f>
        <v>3798.6</v>
      </c>
      <c r="J69" s="68">
        <f>IFERROR('Balance Sheet'!H18,0)</f>
        <v>6152.98</v>
      </c>
      <c r="K69" s="68">
        <f>IFERROR('Balance Sheet'!I18,0)</f>
        <v>6210.64</v>
      </c>
      <c r="L69" s="68">
        <f>IFERROR('Balance Sheet'!J18,0)</f>
        <v>5923.41</v>
      </c>
      <c r="M69" s="68">
        <f>IFERROR('Balance Sheet'!K18,0)</f>
        <v>6719.27</v>
      </c>
    </row>
    <row r="70" spans="1:15" x14ac:dyDescent="0.35">
      <c r="B70" s="61" t="s">
        <v>101</v>
      </c>
      <c r="C70" s="61"/>
      <c r="D70" s="63">
        <f>IFERROR(SUM(D67:D69),0)</f>
        <v>3798.12</v>
      </c>
      <c r="E70" s="63">
        <f t="shared" ref="E70:M70" si="16">IFERROR(SUM(E67:E69),0)</f>
        <v>6024.5</v>
      </c>
      <c r="F70" s="63">
        <f t="shared" si="16"/>
        <v>6054.5500000000011</v>
      </c>
      <c r="G70" s="63">
        <f t="shared" si="16"/>
        <v>6572.5300000000007</v>
      </c>
      <c r="H70" s="63">
        <f t="shared" si="16"/>
        <v>8002.2899999999991</v>
      </c>
      <c r="I70" s="63">
        <f t="shared" si="16"/>
        <v>9521.880000000001</v>
      </c>
      <c r="J70" s="63">
        <f t="shared" si="16"/>
        <v>16229.84</v>
      </c>
      <c r="K70" s="63">
        <f t="shared" si="16"/>
        <v>17720.669999999998</v>
      </c>
      <c r="L70" s="63">
        <f t="shared" si="16"/>
        <v>17582.23</v>
      </c>
      <c r="M70" s="63">
        <f t="shared" si="16"/>
        <v>17523.68</v>
      </c>
    </row>
    <row r="71" spans="1:15" x14ac:dyDescent="0.35"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spans="1:15" ht="15" thickBot="1" x14ac:dyDescent="0.4">
      <c r="B72" s="62" t="s">
        <v>103</v>
      </c>
      <c r="C72" s="62"/>
      <c r="D72" s="64">
        <f>IFERROR(SUM(D65,D70),0)</f>
        <v>10559.029999999999</v>
      </c>
      <c r="E72" s="64">
        <f t="shared" ref="E72:M72" si="17">IFERROR(SUM(E65,E70),0)</f>
        <v>12405.189999999999</v>
      </c>
      <c r="F72" s="64">
        <f t="shared" si="17"/>
        <v>13763.48</v>
      </c>
      <c r="G72" s="64">
        <f t="shared" si="17"/>
        <v>16248.840000000002</v>
      </c>
      <c r="H72" s="64">
        <f t="shared" si="17"/>
        <v>16137.97</v>
      </c>
      <c r="I72" s="64">
        <f t="shared" si="17"/>
        <v>20355.34</v>
      </c>
      <c r="J72" s="64">
        <f t="shared" si="17"/>
        <v>22958.43</v>
      </c>
      <c r="K72" s="64">
        <f t="shared" si="17"/>
        <v>25779.33</v>
      </c>
      <c r="L72" s="64">
        <f t="shared" si="17"/>
        <v>29900.77</v>
      </c>
      <c r="M72" s="64">
        <f t="shared" si="17"/>
        <v>30355.25</v>
      </c>
    </row>
    <row r="74" spans="1:15" x14ac:dyDescent="0.35">
      <c r="B74" s="65" t="s">
        <v>104</v>
      </c>
      <c r="C74" s="66"/>
      <c r="D74" s="67" t="b">
        <f>D72=D59</f>
        <v>1</v>
      </c>
      <c r="E74" s="67" t="b">
        <f t="shared" ref="E74:M74" si="18">E72=E59</f>
        <v>1</v>
      </c>
      <c r="F74" s="67" t="b">
        <f t="shared" si="18"/>
        <v>1</v>
      </c>
      <c r="G74" s="67" t="b">
        <f t="shared" si="18"/>
        <v>1</v>
      </c>
      <c r="H74" s="67" t="b">
        <f t="shared" si="18"/>
        <v>1</v>
      </c>
      <c r="I74" s="67" t="b">
        <f t="shared" si="18"/>
        <v>1</v>
      </c>
      <c r="J74" s="67" t="b">
        <f t="shared" si="18"/>
        <v>1</v>
      </c>
      <c r="K74" s="67" t="b">
        <f t="shared" si="18"/>
        <v>1</v>
      </c>
      <c r="L74" s="67" t="b">
        <f t="shared" si="18"/>
        <v>1</v>
      </c>
      <c r="M74" s="67" t="b">
        <f t="shared" si="18"/>
        <v>1</v>
      </c>
    </row>
    <row r="76" spans="1:15" x14ac:dyDescent="0.35">
      <c r="A76" s="2" t="s">
        <v>82</v>
      </c>
      <c r="B76" s="50" t="str">
        <f>"Cash - Flow Statement - " &amp;'Data Sheet'!$B$1</f>
        <v>Cash - Flow Statement - ASIAN PAINTS LTD</v>
      </c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9"/>
    </row>
    <row r="77" spans="1:15" ht="3" customHeight="1" x14ac:dyDescent="0.35"/>
    <row r="78" spans="1:15" x14ac:dyDescent="0.35">
      <c r="B78" s="81" t="s">
        <v>130</v>
      </c>
    </row>
    <row r="79" spans="1:15" x14ac:dyDescent="0.35">
      <c r="B79" s="81" t="s">
        <v>105</v>
      </c>
      <c r="C79" s="2"/>
      <c r="D79" s="68">
        <f>IFERROR('Cash Flow'!D12,0)</f>
        <v>2848</v>
      </c>
      <c r="E79" s="68">
        <f>IFERROR('Cash Flow'!E12,0)</f>
        <v>3056</v>
      </c>
      <c r="F79" s="68">
        <f>IFERROR('Cash Flow'!F12,0)</f>
        <v>3274</v>
      </c>
      <c r="G79" s="68">
        <f>IFERROR('Cash Flow'!G12,0)</f>
        <v>3861</v>
      </c>
      <c r="H79" s="68">
        <f>IFERROR('Cash Flow'!H12,0)</f>
        <v>4380</v>
      </c>
      <c r="I79" s="68">
        <f>IFERROR('Cash Flow'!I12,0)</f>
        <v>4970</v>
      </c>
      <c r="J79" s="68">
        <f>IFERROR('Cash Flow'!J12,0)</f>
        <v>4957</v>
      </c>
      <c r="K79" s="68">
        <f>IFERROR('Cash Flow'!K12,0)</f>
        <v>6460</v>
      </c>
      <c r="L79" s="68">
        <f>IFERROR('Cash Flow'!L12,0)</f>
        <v>7929</v>
      </c>
      <c r="M79" s="68">
        <f>IFERROR('Cash Flow'!M12,0)</f>
        <v>6390</v>
      </c>
    </row>
    <row r="80" spans="1:15" x14ac:dyDescent="0.35">
      <c r="B80" s="84" t="s">
        <v>69</v>
      </c>
      <c r="D80" s="68">
        <f>IFERROR('Cash Flow'!D13,0)</f>
        <v>-146</v>
      </c>
      <c r="E80" s="68">
        <f>IFERROR('Cash Flow'!E13,0)</f>
        <v>-475</v>
      </c>
      <c r="F80" s="68">
        <f>IFERROR('Cash Flow'!F13,0)</f>
        <v>-483</v>
      </c>
      <c r="G80" s="68">
        <f>IFERROR('Cash Flow'!G13,0)</f>
        <v>-205</v>
      </c>
      <c r="H80" s="68">
        <f>IFERROR('Cash Flow'!H13,0)</f>
        <v>160</v>
      </c>
      <c r="I80" s="68">
        <f>IFERROR('Cash Flow'!I13,0)</f>
        <v>-849</v>
      </c>
      <c r="J80" s="68">
        <f>IFERROR('Cash Flow'!J13,0)</f>
        <v>-1326</v>
      </c>
      <c r="K80" s="68">
        <f>IFERROR('Cash Flow'!K13,0)</f>
        <v>-834</v>
      </c>
      <c r="L80" s="68">
        <f>IFERROR('Cash Flow'!L13,0)</f>
        <v>-362</v>
      </c>
      <c r="M80" s="68">
        <f>IFERROR('Cash Flow'!M13,0)</f>
        <v>282</v>
      </c>
      <c r="O80" s="82"/>
    </row>
    <row r="81" spans="2:13" x14ac:dyDescent="0.35">
      <c r="B81" s="84" t="s">
        <v>45</v>
      </c>
      <c r="D81" s="68">
        <f>IFERROR('Cash Flow'!D14,0)</f>
        <v>202</v>
      </c>
      <c r="E81" s="68">
        <f>IFERROR('Cash Flow'!E14,0)</f>
        <v>-629</v>
      </c>
      <c r="F81" s="68">
        <f>IFERROR('Cash Flow'!F14,0)</f>
        <v>-39</v>
      </c>
      <c r="G81" s="68">
        <f>IFERROR('Cash Flow'!G14,0)</f>
        <v>-492</v>
      </c>
      <c r="H81" s="68">
        <f>IFERROR('Cash Flow'!H14,0)</f>
        <v>-251</v>
      </c>
      <c r="I81" s="68">
        <f>IFERROR('Cash Flow'!I14,0)</f>
        <v>-409</v>
      </c>
      <c r="J81" s="68">
        <f>IFERROR('Cash Flow'!J14,0)</f>
        <v>-2354</v>
      </c>
      <c r="K81" s="68">
        <f>IFERROR('Cash Flow'!K14,0)</f>
        <v>-56</v>
      </c>
      <c r="L81" s="68">
        <f>IFERROR('Cash Flow'!L14,0)</f>
        <v>315</v>
      </c>
      <c r="M81" s="68">
        <f>IFERROR('Cash Flow'!M14,0)</f>
        <v>-805</v>
      </c>
    </row>
    <row r="82" spans="2:13" x14ac:dyDescent="0.35">
      <c r="B82" s="84" t="s">
        <v>106</v>
      </c>
      <c r="D82" s="68">
        <f>IFERROR('Cash Flow'!D15,0)</f>
        <v>142</v>
      </c>
      <c r="E82" s="68">
        <f>IFERROR('Cash Flow'!E15,0)</f>
        <v>501</v>
      </c>
      <c r="F82" s="68">
        <f>IFERROR('Cash Flow'!F15,0)</f>
        <v>442</v>
      </c>
      <c r="G82" s="68">
        <f>IFERROR('Cash Flow'!G15,0)</f>
        <v>287</v>
      </c>
      <c r="H82" s="68">
        <f>IFERROR('Cash Flow'!H15,0)</f>
        <v>-241</v>
      </c>
      <c r="I82" s="68">
        <f>IFERROR('Cash Flow'!I15,0)</f>
        <v>1143</v>
      </c>
      <c r="J82" s="68">
        <f>IFERROR('Cash Flow'!J15,0)</f>
        <v>644</v>
      </c>
      <c r="K82" s="68">
        <f>IFERROR('Cash Flow'!K15,0)</f>
        <v>-539</v>
      </c>
      <c r="L82" s="68">
        <f>IFERROR('Cash Flow'!L15,0)</f>
        <v>269</v>
      </c>
      <c r="M82" s="68">
        <f>IFERROR('Cash Flow'!M15,0)</f>
        <v>-160</v>
      </c>
    </row>
    <row r="83" spans="2:13" x14ac:dyDescent="0.35">
      <c r="B83" s="84" t="s">
        <v>107</v>
      </c>
      <c r="D83" s="68">
        <f>IFERROR('Cash Flow'!D16,0)</f>
        <v>0</v>
      </c>
      <c r="E83" s="68">
        <f>IFERROR('Cash Flow'!E16,0)</f>
        <v>0</v>
      </c>
      <c r="F83" s="68">
        <f>IFERROR('Cash Flow'!F16,0)</f>
        <v>0</v>
      </c>
      <c r="G83" s="68">
        <f>IFERROR('Cash Flow'!G16,0)</f>
        <v>0</v>
      </c>
      <c r="H83" s="68">
        <f>IFERROR('Cash Flow'!H16,0)</f>
        <v>0</v>
      </c>
      <c r="I83" s="68">
        <f>IFERROR('Cash Flow'!I16,0)</f>
        <v>-92</v>
      </c>
      <c r="J83" s="68">
        <f>IFERROR('Cash Flow'!J16,0)</f>
        <v>242</v>
      </c>
      <c r="K83" s="68">
        <f>IFERROR('Cash Flow'!K16,0)</f>
        <v>657</v>
      </c>
      <c r="L83" s="68">
        <f>IFERROR('Cash Flow'!L16,0)</f>
        <v>-212</v>
      </c>
      <c r="M83" s="68">
        <f>IFERROR('Cash Flow'!M16,0)</f>
        <v>114</v>
      </c>
    </row>
    <row r="84" spans="2:13" x14ac:dyDescent="0.35">
      <c r="B84" s="81" t="s">
        <v>108</v>
      </c>
      <c r="C84" s="2"/>
      <c r="D84" s="68">
        <f>IFERROR('Cash Flow'!D17,0)</f>
        <v>198</v>
      </c>
      <c r="E84" s="68">
        <f>IFERROR('Cash Flow'!E17,0)</f>
        <v>-603</v>
      </c>
      <c r="F84" s="68">
        <f>IFERROR('Cash Flow'!F17,0)</f>
        <v>-80</v>
      </c>
      <c r="G84" s="68">
        <f>IFERROR('Cash Flow'!G17,0)</f>
        <v>-410</v>
      </c>
      <c r="H84" s="68">
        <f>IFERROR('Cash Flow'!H17,0)</f>
        <v>-331</v>
      </c>
      <c r="I84" s="68">
        <f>IFERROR('Cash Flow'!I17,0)</f>
        <v>-206</v>
      </c>
      <c r="J84" s="68">
        <f>IFERROR('Cash Flow'!J17,0)</f>
        <v>-2795</v>
      </c>
      <c r="K84" s="68">
        <f>IFERROR('Cash Flow'!K17,0)</f>
        <v>-772</v>
      </c>
      <c r="L84" s="68">
        <f>IFERROR('Cash Flow'!L17,0)</f>
        <v>10</v>
      </c>
      <c r="M84" s="68">
        <f>IFERROR('Cash Flow'!M17,0)</f>
        <v>-570</v>
      </c>
    </row>
    <row r="85" spans="2:13" x14ac:dyDescent="0.35">
      <c r="B85" s="80" t="s">
        <v>109</v>
      </c>
      <c r="D85" s="68">
        <f>IFERROR('Cash Flow'!D18,0)</f>
        <v>-802</v>
      </c>
      <c r="E85" s="68">
        <f>IFERROR('Cash Flow'!E18,0)</f>
        <v>-925</v>
      </c>
      <c r="F85" s="68">
        <f>IFERROR('Cash Flow'!F18,0)</f>
        <v>-1081</v>
      </c>
      <c r="G85" s="68">
        <f>IFERROR('Cash Flow'!G18,0)</f>
        <v>-982</v>
      </c>
      <c r="H85" s="68">
        <f>IFERROR('Cash Flow'!H18,0)</f>
        <v>-1011</v>
      </c>
      <c r="I85" s="68">
        <f>IFERROR('Cash Flow'!I18,0)</f>
        <v>-1080</v>
      </c>
      <c r="J85" s="68">
        <f>IFERROR('Cash Flow'!J18,0)</f>
        <v>-1176</v>
      </c>
      <c r="K85" s="68">
        <f>IFERROR('Cash Flow'!K18,0)</f>
        <v>-1494</v>
      </c>
      <c r="L85" s="68">
        <f>IFERROR('Cash Flow'!L18,0)</f>
        <v>-1835</v>
      </c>
      <c r="M85" s="68">
        <f>IFERROR('Cash Flow'!M18,0)</f>
        <v>-1396</v>
      </c>
    </row>
    <row r="86" spans="2:13" x14ac:dyDescent="0.35">
      <c r="B86" s="88" t="s">
        <v>131</v>
      </c>
      <c r="C86" s="89"/>
      <c r="D86" s="90">
        <f>IFERROR(SUM(D79,D84,D85),0)</f>
        <v>2244</v>
      </c>
      <c r="E86" s="90">
        <f t="shared" ref="E86:M86" si="19">IFERROR(SUM(E79,E84,E85),0)</f>
        <v>1528</v>
      </c>
      <c r="F86" s="90">
        <f t="shared" si="19"/>
        <v>2113</v>
      </c>
      <c r="G86" s="90">
        <f t="shared" si="19"/>
        <v>2469</v>
      </c>
      <c r="H86" s="90">
        <f t="shared" si="19"/>
        <v>3038</v>
      </c>
      <c r="I86" s="90">
        <f t="shared" si="19"/>
        <v>3684</v>
      </c>
      <c r="J86" s="90">
        <f t="shared" si="19"/>
        <v>986</v>
      </c>
      <c r="K86" s="90">
        <f t="shared" si="19"/>
        <v>4194</v>
      </c>
      <c r="L86" s="90">
        <f t="shared" si="19"/>
        <v>6104</v>
      </c>
      <c r="M86" s="90">
        <f t="shared" si="19"/>
        <v>4424</v>
      </c>
    </row>
    <row r="87" spans="2:13" x14ac:dyDescent="0.35">
      <c r="B87" s="81"/>
      <c r="C87" s="2"/>
      <c r="D87" s="83"/>
      <c r="E87" s="83"/>
      <c r="F87" s="83"/>
      <c r="G87" s="83"/>
      <c r="H87" s="83"/>
      <c r="I87" s="83"/>
      <c r="J87" s="83"/>
      <c r="K87" s="83"/>
      <c r="L87" s="83"/>
      <c r="M87" s="83"/>
    </row>
    <row r="88" spans="2:13" x14ac:dyDescent="0.35">
      <c r="B88" s="81" t="s">
        <v>132</v>
      </c>
    </row>
    <row r="89" spans="2:13" x14ac:dyDescent="0.35">
      <c r="B89" s="36" t="s">
        <v>110</v>
      </c>
      <c r="D89" s="68">
        <f>IFERROR('Cash Flow'!D20,0)</f>
        <v>-817</v>
      </c>
      <c r="E89" s="68">
        <f>IFERROR('Cash Flow'!E20,0)</f>
        <v>-684</v>
      </c>
      <c r="F89" s="68">
        <f>IFERROR('Cash Flow'!F20,0)</f>
        <v>-1426</v>
      </c>
      <c r="G89" s="68">
        <f>IFERROR('Cash Flow'!G20,0)</f>
        <v>-1151</v>
      </c>
      <c r="H89" s="68">
        <f>IFERROR('Cash Flow'!H20,0)</f>
        <v>-404</v>
      </c>
      <c r="I89" s="68">
        <f>IFERROR('Cash Flow'!I20,0)</f>
        <v>-282</v>
      </c>
      <c r="J89" s="68">
        <f>IFERROR('Cash Flow'!J20,0)</f>
        <v>-551</v>
      </c>
      <c r="K89" s="68">
        <f>IFERROR('Cash Flow'!K20,0)</f>
        <v>-1446</v>
      </c>
      <c r="L89" s="68">
        <f>IFERROR('Cash Flow'!L20,0)</f>
        <v>-2496</v>
      </c>
      <c r="M89" s="68">
        <f>IFERROR('Cash Flow'!M20,0)</f>
        <v>-1830</v>
      </c>
    </row>
    <row r="90" spans="2:13" x14ac:dyDescent="0.35">
      <c r="B90" s="36" t="s">
        <v>111</v>
      </c>
      <c r="D90" s="68">
        <f>IFERROR('Cash Flow'!D21,0)</f>
        <v>15</v>
      </c>
      <c r="E90" s="68">
        <f>IFERROR('Cash Flow'!E21,0)</f>
        <v>17</v>
      </c>
      <c r="F90" s="68">
        <f>IFERROR('Cash Flow'!F21,0)</f>
        <v>17</v>
      </c>
      <c r="G90" s="68">
        <f>IFERROR('Cash Flow'!G21,0)</f>
        <v>17</v>
      </c>
      <c r="H90" s="68">
        <f>IFERROR('Cash Flow'!H21,0)</f>
        <v>37</v>
      </c>
      <c r="I90" s="68">
        <f>IFERROR('Cash Flow'!I21,0)</f>
        <v>28</v>
      </c>
      <c r="J90" s="68">
        <f>IFERROR('Cash Flow'!J21,0)</f>
        <v>40</v>
      </c>
      <c r="K90" s="68">
        <f>IFERROR('Cash Flow'!K21,0)</f>
        <v>26</v>
      </c>
      <c r="L90" s="68">
        <f>IFERROR('Cash Flow'!L21,0)</f>
        <v>5</v>
      </c>
      <c r="M90" s="68">
        <f>IFERROR('Cash Flow'!M21,0)</f>
        <v>10</v>
      </c>
    </row>
    <row r="91" spans="2:13" x14ac:dyDescent="0.35">
      <c r="B91" s="36" t="s">
        <v>112</v>
      </c>
      <c r="D91" s="68">
        <f>IFERROR('Cash Flow'!D22,0)</f>
        <v>-282</v>
      </c>
      <c r="E91" s="68">
        <f>IFERROR('Cash Flow'!E22,0)</f>
        <v>-153</v>
      </c>
      <c r="F91" s="68">
        <f>IFERROR('Cash Flow'!F22,0)</f>
        <v>-320</v>
      </c>
      <c r="G91" s="68">
        <f>IFERROR('Cash Flow'!G22,0)</f>
        <v>-573</v>
      </c>
      <c r="H91" s="68">
        <f>IFERROR('Cash Flow'!H22,0)</f>
        <v>-25</v>
      </c>
      <c r="I91" s="68">
        <f>IFERROR('Cash Flow'!I22,0)</f>
        <v>-140</v>
      </c>
      <c r="J91" s="68">
        <f>IFERROR('Cash Flow'!J22,0)</f>
        <v>0</v>
      </c>
      <c r="K91" s="68">
        <f>IFERROR('Cash Flow'!K22,0)</f>
        <v>-146</v>
      </c>
      <c r="L91" s="68">
        <f>IFERROR('Cash Flow'!L22,0)</f>
        <v>-212</v>
      </c>
      <c r="M91" s="68">
        <f>IFERROR('Cash Flow'!M22,0)</f>
        <v>-1</v>
      </c>
    </row>
    <row r="92" spans="2:13" x14ac:dyDescent="0.35">
      <c r="B92" s="36" t="s">
        <v>113</v>
      </c>
      <c r="D92" s="68">
        <f>IFERROR('Cash Flow'!D23,0)</f>
        <v>205</v>
      </c>
      <c r="E92" s="68">
        <f>IFERROR('Cash Flow'!E23,0)</f>
        <v>357</v>
      </c>
      <c r="F92" s="68">
        <f>IFERROR('Cash Flow'!F23,0)</f>
        <v>362</v>
      </c>
      <c r="G92" s="68">
        <f>IFERROR('Cash Flow'!G23,0)</f>
        <v>733</v>
      </c>
      <c r="H92" s="68">
        <f>IFERROR('Cash Flow'!H23,0)</f>
        <v>134</v>
      </c>
      <c r="I92" s="68">
        <f>IFERROR('Cash Flow'!I23,0)</f>
        <v>272</v>
      </c>
      <c r="J92" s="68">
        <f>IFERROR('Cash Flow'!J23,0)</f>
        <v>207</v>
      </c>
      <c r="K92" s="68">
        <f>IFERROR('Cash Flow'!K23,0)</f>
        <v>446</v>
      </c>
      <c r="L92" s="68">
        <f>IFERROR('Cash Flow'!L23,0)</f>
        <v>240</v>
      </c>
      <c r="M92" s="68">
        <f>IFERROR('Cash Flow'!M23,0)</f>
        <v>421</v>
      </c>
    </row>
    <row r="93" spans="2:13" x14ac:dyDescent="0.35">
      <c r="B93" s="36" t="s">
        <v>114</v>
      </c>
      <c r="D93" s="68">
        <f>IFERROR('Cash Flow'!D24,0)</f>
        <v>15</v>
      </c>
      <c r="E93" s="68">
        <f>IFERROR('Cash Flow'!E24,0)</f>
        <v>32</v>
      </c>
      <c r="F93" s="68">
        <f>IFERROR('Cash Flow'!F24,0)</f>
        <v>39</v>
      </c>
      <c r="G93" s="68">
        <f>IFERROR('Cash Flow'!G24,0)</f>
        <v>40</v>
      </c>
      <c r="H93" s="68">
        <f>IFERROR('Cash Flow'!H24,0)</f>
        <v>65</v>
      </c>
      <c r="I93" s="68">
        <f>IFERROR('Cash Flow'!I24,0)</f>
        <v>73</v>
      </c>
      <c r="J93" s="68">
        <f>IFERROR('Cash Flow'!J24,0)</f>
        <v>77</v>
      </c>
      <c r="K93" s="68">
        <f>IFERROR('Cash Flow'!K24,0)</f>
        <v>87</v>
      </c>
      <c r="L93" s="68">
        <f>IFERROR('Cash Flow'!L24,0)</f>
        <v>135</v>
      </c>
      <c r="M93" s="68">
        <f>IFERROR('Cash Flow'!M24,0)</f>
        <v>155</v>
      </c>
    </row>
    <row r="94" spans="2:13" x14ac:dyDescent="0.35">
      <c r="B94" s="36" t="s">
        <v>115</v>
      </c>
      <c r="D94" s="68">
        <f>IFERROR('Cash Flow'!D25,0)</f>
        <v>69</v>
      </c>
      <c r="E94" s="68">
        <f>IFERROR('Cash Flow'!E25,0)</f>
        <v>74</v>
      </c>
      <c r="F94" s="68">
        <f>IFERROR('Cash Flow'!F25,0)</f>
        <v>38</v>
      </c>
      <c r="G94" s="68">
        <f>IFERROR('Cash Flow'!G25,0)</f>
        <v>40</v>
      </c>
      <c r="H94" s="68">
        <f>IFERROR('Cash Flow'!H25,0)</f>
        <v>27</v>
      </c>
      <c r="I94" s="68">
        <f>IFERROR('Cash Flow'!I25,0)</f>
        <v>8</v>
      </c>
      <c r="J94" s="68">
        <f>IFERROR('Cash Flow'!J25,0)</f>
        <v>15</v>
      </c>
      <c r="K94" s="68">
        <f>IFERROR('Cash Flow'!K25,0)</f>
        <v>56</v>
      </c>
      <c r="L94" s="68">
        <f>IFERROR('Cash Flow'!L25,0)</f>
        <v>129</v>
      </c>
      <c r="M94" s="68">
        <f>IFERROR('Cash Flow'!M25,0)</f>
        <v>136</v>
      </c>
    </row>
    <row r="95" spans="2:13" x14ac:dyDescent="0.35">
      <c r="B95" s="36" t="s">
        <v>116</v>
      </c>
      <c r="D95" s="68">
        <f>IFERROR('Cash Flow'!D26,0)</f>
        <v>0</v>
      </c>
      <c r="E95" s="68">
        <f>IFERROR('Cash Flow'!E26,0)</f>
        <v>0</v>
      </c>
      <c r="F95" s="68">
        <f>IFERROR('Cash Flow'!F26,0)</f>
        <v>0</v>
      </c>
      <c r="G95" s="68">
        <f>IFERROR('Cash Flow'!G26,0)</f>
        <v>0</v>
      </c>
      <c r="H95" s="68">
        <f>IFERROR('Cash Flow'!H26,0)</f>
        <v>0</v>
      </c>
      <c r="I95" s="68">
        <f>IFERROR('Cash Flow'!I26,0)</f>
        <v>0</v>
      </c>
      <c r="J95" s="68">
        <f>IFERROR('Cash Flow'!J26,0)</f>
        <v>0</v>
      </c>
      <c r="K95" s="68">
        <f>IFERROR('Cash Flow'!K26,0)</f>
        <v>-180</v>
      </c>
      <c r="L95" s="68">
        <f>IFERROR('Cash Flow'!L26,0)</f>
        <v>0</v>
      </c>
      <c r="M95" s="68">
        <f>IFERROR('Cash Flow'!M26,0)</f>
        <v>0</v>
      </c>
    </row>
    <row r="96" spans="2:13" x14ac:dyDescent="0.35">
      <c r="B96" s="36" t="s">
        <v>117</v>
      </c>
      <c r="D96" s="68">
        <f>IFERROR('Cash Flow'!D27,0)</f>
        <v>0</v>
      </c>
      <c r="E96" s="68">
        <f>IFERROR('Cash Flow'!E27,0)</f>
        <v>0</v>
      </c>
      <c r="F96" s="68">
        <f>IFERROR('Cash Flow'!F27,0)</f>
        <v>141</v>
      </c>
      <c r="G96" s="68">
        <f>IFERROR('Cash Flow'!G27,0)</f>
        <v>0</v>
      </c>
      <c r="H96" s="68">
        <f>IFERROR('Cash Flow'!H27,0)</f>
        <v>0</v>
      </c>
      <c r="I96" s="68">
        <f>IFERROR('Cash Flow'!I27,0)</f>
        <v>0</v>
      </c>
      <c r="J96" s="68">
        <f>IFERROR('Cash Flow'!J27,0)</f>
        <v>0</v>
      </c>
      <c r="K96" s="68">
        <f>IFERROR('Cash Flow'!K27,0)</f>
        <v>0</v>
      </c>
      <c r="L96" s="68">
        <f>IFERROR('Cash Flow'!L27,0)</f>
        <v>0</v>
      </c>
      <c r="M96" s="68">
        <f>IFERROR('Cash Flow'!M27,0)</f>
        <v>38</v>
      </c>
    </row>
    <row r="97" spans="2:13" x14ac:dyDescent="0.35">
      <c r="B97" s="36" t="s">
        <v>118</v>
      </c>
      <c r="D97" s="68">
        <f>IFERROR('Cash Flow'!D28,0)</f>
        <v>0</v>
      </c>
      <c r="E97" s="68">
        <f>IFERROR('Cash Flow'!E28,0)</f>
        <v>0</v>
      </c>
      <c r="F97" s="68">
        <f>IFERROR('Cash Flow'!F28,0)</f>
        <v>-525</v>
      </c>
      <c r="G97" s="68">
        <f>IFERROR('Cash Flow'!G28,0)</f>
        <v>0</v>
      </c>
      <c r="H97" s="68">
        <f>IFERROR('Cash Flow'!H28,0)</f>
        <v>0</v>
      </c>
      <c r="I97" s="68">
        <f>IFERROR('Cash Flow'!I28,0)</f>
        <v>0</v>
      </c>
      <c r="J97" s="68">
        <f>IFERROR('Cash Flow'!J28,0)</f>
        <v>0</v>
      </c>
      <c r="K97" s="68">
        <f>IFERROR('Cash Flow'!K28,0)</f>
        <v>0</v>
      </c>
      <c r="L97" s="68">
        <f>IFERROR('Cash Flow'!L28,0)</f>
        <v>0</v>
      </c>
      <c r="M97" s="68">
        <f>IFERROR('Cash Flow'!M28,0)</f>
        <v>0</v>
      </c>
    </row>
    <row r="98" spans="2:13" x14ac:dyDescent="0.35">
      <c r="B98" s="36" t="s">
        <v>119</v>
      </c>
      <c r="D98" s="68">
        <f>IFERROR('Cash Flow'!D29,0)</f>
        <v>-70</v>
      </c>
      <c r="E98" s="68">
        <f>IFERROR('Cash Flow'!E29,0)</f>
        <v>-324</v>
      </c>
      <c r="F98" s="68">
        <f>IFERROR('Cash Flow'!F29,0)</f>
        <v>118</v>
      </c>
      <c r="G98" s="68">
        <f>IFERROR('Cash Flow'!G29,0)</f>
        <v>-24</v>
      </c>
      <c r="H98" s="68">
        <f>IFERROR('Cash Flow'!H29,0)</f>
        <v>-353</v>
      </c>
      <c r="I98" s="68">
        <f>IFERROR('Cash Flow'!I29,0)</f>
        <v>-500</v>
      </c>
      <c r="J98" s="68">
        <f>IFERROR('Cash Flow'!J29,0)</f>
        <v>-105</v>
      </c>
      <c r="K98" s="68">
        <f>IFERROR('Cash Flow'!K29,0)</f>
        <v>-126</v>
      </c>
      <c r="L98" s="68">
        <f>IFERROR('Cash Flow'!L29,0)</f>
        <v>-350</v>
      </c>
      <c r="M98" s="68">
        <f>IFERROR('Cash Flow'!M29,0)</f>
        <v>130</v>
      </c>
    </row>
    <row r="99" spans="2:13" x14ac:dyDescent="0.35">
      <c r="B99" s="88" t="s">
        <v>133</v>
      </c>
      <c r="C99" s="89"/>
      <c r="D99" s="90">
        <f>IFERROR(SUM(D89:D98),0)</f>
        <v>-865</v>
      </c>
      <c r="E99" s="90">
        <f t="shared" ref="E99:M99" si="20">IFERROR(SUM(E89:E98),0)</f>
        <v>-681</v>
      </c>
      <c r="F99" s="90">
        <f t="shared" si="20"/>
        <v>-1556</v>
      </c>
      <c r="G99" s="90">
        <f t="shared" si="20"/>
        <v>-918</v>
      </c>
      <c r="H99" s="90">
        <f t="shared" si="20"/>
        <v>-519</v>
      </c>
      <c r="I99" s="90">
        <f t="shared" si="20"/>
        <v>-541</v>
      </c>
      <c r="J99" s="90">
        <f t="shared" si="20"/>
        <v>-317</v>
      </c>
      <c r="K99" s="90">
        <f t="shared" si="20"/>
        <v>-1283</v>
      </c>
      <c r="L99" s="90">
        <f t="shared" si="20"/>
        <v>-2549</v>
      </c>
      <c r="M99" s="90">
        <f t="shared" si="20"/>
        <v>-941</v>
      </c>
    </row>
    <row r="101" spans="2:13" x14ac:dyDescent="0.35">
      <c r="B101" s="81" t="s">
        <v>134</v>
      </c>
    </row>
    <row r="102" spans="2:13" x14ac:dyDescent="0.35">
      <c r="B102" s="37" t="s">
        <v>120</v>
      </c>
      <c r="D102" s="68">
        <f>IFERROR('Cash Flow'!D31,0)</f>
        <v>0</v>
      </c>
      <c r="E102" s="68">
        <f>IFERROR('Cash Flow'!E31,0)</f>
        <v>0</v>
      </c>
      <c r="F102" s="68">
        <f>IFERROR('Cash Flow'!F31,0)</f>
        <v>0</v>
      </c>
      <c r="G102" s="68">
        <f>IFERROR('Cash Flow'!G31,0)</f>
        <v>0</v>
      </c>
      <c r="H102" s="68">
        <f>IFERROR('Cash Flow'!H31,0)</f>
        <v>0</v>
      </c>
      <c r="I102" s="68">
        <f>IFERROR('Cash Flow'!I31,0)</f>
        <v>0</v>
      </c>
      <c r="J102" s="68">
        <f>IFERROR('Cash Flow'!J31,0)</f>
        <v>0</v>
      </c>
      <c r="K102" s="68">
        <f>IFERROR('Cash Flow'!K31,0)</f>
        <v>0</v>
      </c>
      <c r="L102" s="68">
        <f>IFERROR('Cash Flow'!L31,0)</f>
        <v>1</v>
      </c>
      <c r="M102" s="68">
        <f>IFERROR('Cash Flow'!M31,0)</f>
        <v>0</v>
      </c>
    </row>
    <row r="103" spans="2:13" x14ac:dyDescent="0.35">
      <c r="B103" s="37" t="s">
        <v>121</v>
      </c>
      <c r="D103" s="68">
        <f>IFERROR('Cash Flow'!D32,0)</f>
        <v>8</v>
      </c>
      <c r="E103" s="68">
        <f>IFERROR('Cash Flow'!E32,0)</f>
        <v>271</v>
      </c>
      <c r="F103" s="68">
        <f>IFERROR('Cash Flow'!F32,0)</f>
        <v>10</v>
      </c>
      <c r="G103" s="68">
        <f>IFERROR('Cash Flow'!G32,0)</f>
        <v>243</v>
      </c>
      <c r="H103" s="68">
        <f>IFERROR('Cash Flow'!H32,0)</f>
        <v>18</v>
      </c>
      <c r="I103" s="68">
        <f>IFERROR('Cash Flow'!I32,0)</f>
        <v>155</v>
      </c>
      <c r="J103" s="68">
        <f>IFERROR('Cash Flow'!J32,0)</f>
        <v>418</v>
      </c>
      <c r="K103" s="68">
        <f>IFERROR('Cash Flow'!K32,0)</f>
        <v>254</v>
      </c>
      <c r="L103" s="68">
        <f>IFERROR('Cash Flow'!L32,0)</f>
        <v>101</v>
      </c>
      <c r="M103" s="68">
        <f>IFERROR('Cash Flow'!M32,0)</f>
        <v>415</v>
      </c>
    </row>
    <row r="104" spans="2:13" x14ac:dyDescent="0.35">
      <c r="B104" s="37" t="s">
        <v>122</v>
      </c>
      <c r="D104" s="68">
        <f>IFERROR('Cash Flow'!D33,0)</f>
        <v>-119</v>
      </c>
      <c r="E104" s="68">
        <f>IFERROR('Cash Flow'!E33,0)</f>
        <v>-58</v>
      </c>
      <c r="F104" s="68">
        <f>IFERROR('Cash Flow'!F33,0)</f>
        <v>-54</v>
      </c>
      <c r="G104" s="68">
        <f>IFERROR('Cash Flow'!G33,0)</f>
        <v>-26</v>
      </c>
      <c r="H104" s="68">
        <f>IFERROR('Cash Flow'!H33,0)</f>
        <v>-279</v>
      </c>
      <c r="I104" s="68">
        <f>IFERROR('Cash Flow'!I33,0)</f>
        <v>-14</v>
      </c>
      <c r="J104" s="68">
        <f>IFERROR('Cash Flow'!J33,0)</f>
        <v>-8</v>
      </c>
      <c r="K104" s="68">
        <f>IFERROR('Cash Flow'!K33,0)</f>
        <v>-25</v>
      </c>
      <c r="L104" s="68">
        <f>IFERROR('Cash Flow'!L33,0)</f>
        <v>-98</v>
      </c>
      <c r="M104" s="68">
        <f>IFERROR('Cash Flow'!M33,0)</f>
        <v>-428</v>
      </c>
    </row>
    <row r="105" spans="2:13" x14ac:dyDescent="0.35">
      <c r="B105" s="37" t="s">
        <v>123</v>
      </c>
      <c r="D105" s="68">
        <f>IFERROR('Cash Flow'!D34,0)</f>
        <v>-40</v>
      </c>
      <c r="E105" s="68">
        <f>IFERROR('Cash Flow'!E34,0)</f>
        <v>-36</v>
      </c>
      <c r="F105" s="68">
        <f>IFERROR('Cash Flow'!F34,0)</f>
        <v>-35</v>
      </c>
      <c r="G105" s="68">
        <f>IFERROR('Cash Flow'!G34,0)</f>
        <v>-106</v>
      </c>
      <c r="H105" s="68">
        <f>IFERROR('Cash Flow'!H34,0)</f>
        <v>-101</v>
      </c>
      <c r="I105" s="68">
        <f>IFERROR('Cash Flow'!I34,0)</f>
        <v>-89</v>
      </c>
      <c r="J105" s="68">
        <f>IFERROR('Cash Flow'!J34,0)</f>
        <v>-94</v>
      </c>
      <c r="K105" s="68">
        <f>IFERROR('Cash Flow'!K34,0)</f>
        <v>-142</v>
      </c>
      <c r="L105" s="68">
        <f>IFERROR('Cash Flow'!L34,0)</f>
        <v>-191</v>
      </c>
      <c r="M105" s="68">
        <f>IFERROR('Cash Flow'!M34,0)</f>
        <v>-203</v>
      </c>
    </row>
    <row r="106" spans="2:13" x14ac:dyDescent="0.35">
      <c r="B106" s="37" t="s">
        <v>124</v>
      </c>
      <c r="D106" s="68">
        <f>IFERROR('Cash Flow'!D35,0)</f>
        <v>-764</v>
      </c>
      <c r="E106" s="68">
        <f>IFERROR('Cash Flow'!E35,0)</f>
        <v>-947</v>
      </c>
      <c r="F106" s="68">
        <f>IFERROR('Cash Flow'!F35,0)</f>
        <v>-1218</v>
      </c>
      <c r="G106" s="68">
        <f>IFERROR('Cash Flow'!G35,0)</f>
        <v>-1049</v>
      </c>
      <c r="H106" s="68">
        <f>IFERROR('Cash Flow'!H35,0)</f>
        <v>-2121</v>
      </c>
      <c r="I106" s="68">
        <f>IFERROR('Cash Flow'!I35,0)</f>
        <v>-499</v>
      </c>
      <c r="J106" s="68">
        <f>IFERROR('Cash Flow'!J35,0)</f>
        <v>-1763</v>
      </c>
      <c r="K106" s="68">
        <f>IFERROR('Cash Flow'!K35,0)</f>
        <v>-1936</v>
      </c>
      <c r="L106" s="68">
        <f>IFERROR('Cash Flow'!L35,0)</f>
        <v>-2551</v>
      </c>
      <c r="M106" s="68">
        <f>IFERROR('Cash Flow'!M35,0)</f>
        <v>-3140</v>
      </c>
    </row>
    <row r="107" spans="2:13" x14ac:dyDescent="0.35">
      <c r="B107" s="37" t="s">
        <v>125</v>
      </c>
      <c r="D107" s="68">
        <f>IFERROR('Cash Flow'!D36,0)</f>
        <v>0</v>
      </c>
      <c r="E107" s="68">
        <f>IFERROR('Cash Flow'!E36,0)</f>
        <v>0</v>
      </c>
      <c r="F107" s="68">
        <f>IFERROR('Cash Flow'!F36,0)</f>
        <v>0</v>
      </c>
      <c r="G107" s="68">
        <f>IFERROR('Cash Flow'!G36,0)</f>
        <v>-180</v>
      </c>
      <c r="H107" s="68">
        <f>IFERROR('Cash Flow'!H36,0)</f>
        <v>-179</v>
      </c>
      <c r="I107" s="68">
        <f>IFERROR('Cash Flow'!I36,0)</f>
        <v>-203</v>
      </c>
      <c r="J107" s="68">
        <f>IFERROR('Cash Flow'!J36,0)</f>
        <v>-221</v>
      </c>
      <c r="K107" s="68">
        <f>IFERROR('Cash Flow'!K36,0)</f>
        <v>-256</v>
      </c>
      <c r="L107" s="68">
        <f>IFERROR('Cash Flow'!L36,0)</f>
        <v>-286</v>
      </c>
      <c r="M107" s="68">
        <f>IFERROR('Cash Flow'!M36,0)</f>
        <v>-325</v>
      </c>
    </row>
    <row r="108" spans="2:13" x14ac:dyDescent="0.35">
      <c r="B108" s="37" t="s">
        <v>126</v>
      </c>
      <c r="D108" s="68">
        <f>IFERROR('Cash Flow'!D37,0)</f>
        <v>66</v>
      </c>
      <c r="E108" s="68">
        <f>IFERROR('Cash Flow'!E37,0)</f>
        <v>13</v>
      </c>
      <c r="F108" s="68">
        <f>IFERROR('Cash Flow'!F37,0)</f>
        <v>-82</v>
      </c>
      <c r="G108" s="68">
        <f>IFERROR('Cash Flow'!G37,0)</f>
        <v>0</v>
      </c>
      <c r="H108" s="68">
        <f>IFERROR('Cash Flow'!H37,0)</f>
        <v>-209</v>
      </c>
      <c r="I108" s="68">
        <f>IFERROR('Cash Flow'!I37,0)</f>
        <v>0</v>
      </c>
      <c r="J108" s="68">
        <f>IFERROR('Cash Flow'!J37,0)</f>
        <v>-140</v>
      </c>
      <c r="K108" s="68">
        <f>IFERROR('Cash Flow'!K37,0)</f>
        <v>-36</v>
      </c>
      <c r="L108" s="68">
        <f>IFERROR('Cash Flow'!L37,0)</f>
        <v>41</v>
      </c>
      <c r="M108" s="68">
        <f>IFERROR('Cash Flow'!M37,0)</f>
        <v>-72</v>
      </c>
    </row>
    <row r="109" spans="2:13" x14ac:dyDescent="0.35">
      <c r="B109" s="88" t="s">
        <v>133</v>
      </c>
      <c r="C109" s="89"/>
      <c r="D109" s="90">
        <f>IFERROR(SUM(D102:D108),0)</f>
        <v>-849</v>
      </c>
      <c r="E109" s="90">
        <f t="shared" ref="E109:M109" si="21">IFERROR(SUM(E102:E108),0)</f>
        <v>-757</v>
      </c>
      <c r="F109" s="90">
        <f t="shared" si="21"/>
        <v>-1379</v>
      </c>
      <c r="G109" s="90">
        <f t="shared" si="21"/>
        <v>-1118</v>
      </c>
      <c r="H109" s="90">
        <f t="shared" si="21"/>
        <v>-2871</v>
      </c>
      <c r="I109" s="90">
        <f t="shared" si="21"/>
        <v>-650</v>
      </c>
      <c r="J109" s="90">
        <f t="shared" si="21"/>
        <v>-1808</v>
      </c>
      <c r="K109" s="90">
        <f t="shared" si="21"/>
        <v>-2141</v>
      </c>
      <c r="L109" s="90">
        <f t="shared" si="21"/>
        <v>-2983</v>
      </c>
      <c r="M109" s="90">
        <f t="shared" si="21"/>
        <v>-3753</v>
      </c>
    </row>
    <row r="111" spans="2:13" ht="15" thickBot="1" x14ac:dyDescent="0.4">
      <c r="B111" s="85" t="s">
        <v>35</v>
      </c>
      <c r="C111" s="86"/>
      <c r="D111" s="87">
        <f>IFERROR(SUM(D86+D99+D109),0)</f>
        <v>530</v>
      </c>
      <c r="E111" s="87">
        <f t="shared" ref="E111:M111" si="22">IFERROR(SUM(E86+E99+E109),0)</f>
        <v>90</v>
      </c>
      <c r="F111" s="87">
        <f t="shared" si="22"/>
        <v>-822</v>
      </c>
      <c r="G111" s="87">
        <f t="shared" si="22"/>
        <v>433</v>
      </c>
      <c r="H111" s="87">
        <f t="shared" si="22"/>
        <v>-352</v>
      </c>
      <c r="I111" s="87">
        <f t="shared" si="22"/>
        <v>2493</v>
      </c>
      <c r="J111" s="87">
        <f t="shared" si="22"/>
        <v>-1139</v>
      </c>
      <c r="K111" s="87">
        <f t="shared" si="22"/>
        <v>770</v>
      </c>
      <c r="L111" s="87">
        <f t="shared" si="22"/>
        <v>572</v>
      </c>
      <c r="M111" s="87">
        <f t="shared" si="22"/>
        <v>-270</v>
      </c>
    </row>
  </sheetData>
  <mergeCells count="1">
    <mergeCell ref="B4:M4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5193-DDB5-473E-B4B6-992D4D1C891B}">
  <dimension ref="B2:P40"/>
  <sheetViews>
    <sheetView showGridLines="0" zoomScaleNormal="100" workbookViewId="0">
      <selection activeCell="X34" sqref="X34"/>
    </sheetView>
  </sheetViews>
  <sheetFormatPr defaultRowHeight="14.5" x14ac:dyDescent="0.35"/>
  <cols>
    <col min="1" max="1" width="1.81640625" customWidth="1"/>
    <col min="2" max="2" width="8.7265625" customWidth="1"/>
    <col min="3" max="3" width="18.7265625" customWidth="1"/>
    <col min="4" max="13" width="10.6328125" customWidth="1"/>
    <col min="14" max="14" width="12.6328125" customWidth="1"/>
  </cols>
  <sheetData>
    <row r="2" spans="2:16" x14ac:dyDescent="0.35">
      <c r="B2" s="269" t="str">
        <f xml:space="preserve"> "Ratio Analysis - " &amp;'Data Sheet'!B1</f>
        <v>Ratio Analysis - ASIAN PAINTS LTD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</row>
    <row r="3" spans="2:16" x14ac:dyDescent="0.35">
      <c r="B3" s="21" t="s">
        <v>81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93" t="s">
        <v>167</v>
      </c>
      <c r="O3" s="93" t="s">
        <v>168</v>
      </c>
      <c r="P3" s="94" t="s">
        <v>169</v>
      </c>
    </row>
    <row r="4" spans="2:16" ht="3" customHeight="1" x14ac:dyDescent="0.35"/>
    <row r="5" spans="2:16" x14ac:dyDescent="0.35">
      <c r="B5" s="95" t="s">
        <v>22</v>
      </c>
      <c r="C5" s="95"/>
      <c r="D5" s="96" t="s">
        <v>83</v>
      </c>
      <c r="E5" s="97">
        <f>FS!E10</f>
        <v>5.5390151974320734E-2</v>
      </c>
      <c r="F5" s="97">
        <f>FS!F10</f>
        <v>0.11702039371955486</v>
      </c>
      <c r="G5" s="97">
        <f>FS!G10</f>
        <v>0.14357471670861943</v>
      </c>
      <c r="H5" s="97">
        <f>FS!H10</f>
        <v>5.0473671435691925E-2</v>
      </c>
      <c r="I5" s="97">
        <f>FS!I10</f>
        <v>7.4292287711052118E-2</v>
      </c>
      <c r="J5" s="97">
        <f>FS!J10</f>
        <v>0.34028284711453471</v>
      </c>
      <c r="K5" s="97">
        <f>FS!K10</f>
        <v>0.18512278497715551</v>
      </c>
      <c r="L5" s="97">
        <f>FS!L10</f>
        <v>2.9173126532572313E-2</v>
      </c>
      <c r="M5" s="97">
        <f>FS!M10</f>
        <v>-4.4770308155605121E-2</v>
      </c>
      <c r="N5" s="95"/>
      <c r="O5" s="97">
        <f>IFERROR(AVERAGE(E5:M5),0)</f>
        <v>0.10561774133532183</v>
      </c>
      <c r="P5" s="97">
        <f>IFERROR(MEDIAN(D5:M5),0)</f>
        <v>7.4292287711052118E-2</v>
      </c>
    </row>
    <row r="6" spans="2:16" x14ac:dyDescent="0.35">
      <c r="B6" t="s">
        <v>141</v>
      </c>
      <c r="D6" s="98" t="s">
        <v>83</v>
      </c>
      <c r="E6" s="99">
        <f>FS!E21/FS!D21-1</f>
        <v>9.8611396529958206E-2</v>
      </c>
      <c r="F6" s="99">
        <f>FS!F21/FS!E21-1</f>
        <v>7.0229410507188339E-2</v>
      </c>
      <c r="G6" s="99">
        <f>FS!G21/FS!F21-1</f>
        <v>0.17507123885381204</v>
      </c>
      <c r="H6" s="99">
        <f>FS!H21/FS!G21-1</f>
        <v>0.10408665211132062</v>
      </c>
      <c r="I6" s="99">
        <f>FS!I21/FS!H21-1</f>
        <v>0.1681044644704377</v>
      </c>
      <c r="J6" s="99">
        <f>FS!J21/FS!I21-1</f>
        <v>-1.0707224647829583E-2</v>
      </c>
      <c r="K6" s="99">
        <f>FS!K21/FS!J21-1</f>
        <v>0.30315325349060296</v>
      </c>
      <c r="L6" s="99">
        <f>FS!L21/FS!K21-1</f>
        <v>0.21168911665473944</v>
      </c>
      <c r="M6" s="99">
        <f>FS!M21/FS!L21-1</f>
        <v>-0.20814425351154475</v>
      </c>
      <c r="O6" s="99">
        <f t="shared" ref="O6:O40" si="0">IFERROR(AVERAGE(E6:M6),0)</f>
        <v>0.10134378382874279</v>
      </c>
      <c r="P6" s="99">
        <f t="shared" ref="P6:P40" si="1">IFERROR(MEDIAN(D6:M6),0)</f>
        <v>0.10408665211132062</v>
      </c>
    </row>
    <row r="7" spans="2:16" x14ac:dyDescent="0.35">
      <c r="B7" t="s">
        <v>142</v>
      </c>
      <c r="D7" s="98" t="s">
        <v>83</v>
      </c>
      <c r="E7" s="99">
        <f>FS!E27/FS!D27-1</f>
        <v>0.12543703175169352</v>
      </c>
      <c r="F7" s="99">
        <f>FS!F27/FS!E27-1</f>
        <v>6.1090404321842318E-2</v>
      </c>
      <c r="G7" s="99">
        <f>FS!G27/FS!F27-1</f>
        <v>7.4409974999607664E-2</v>
      </c>
      <c r="H7" s="99">
        <f>FS!H27/FS!G27-1</f>
        <v>9.2139192230803246E-2</v>
      </c>
      <c r="I7" s="99">
        <f>FS!I27/FS!H27-1</f>
        <v>0.17811420470229522</v>
      </c>
      <c r="J7" s="99">
        <f>FS!J27/FS!I27-1</f>
        <v>-2.5671181397549647E-2</v>
      </c>
      <c r="K7" s="99">
        <f>FS!K27/FS!J27-1</f>
        <v>0.36191990436900023</v>
      </c>
      <c r="L7" s="99">
        <f>FS!L27/FS!K27-1</f>
        <v>0.29480155247133721</v>
      </c>
      <c r="M7" s="99">
        <f>FS!M27/FS!L27-1</f>
        <v>-0.29430261593498641</v>
      </c>
      <c r="O7" s="99">
        <f t="shared" si="0"/>
        <v>9.6437607501560371E-2</v>
      </c>
      <c r="P7" s="99">
        <f t="shared" si="1"/>
        <v>9.2139192230803246E-2</v>
      </c>
    </row>
    <row r="8" spans="2:16" x14ac:dyDescent="0.35">
      <c r="B8" t="s">
        <v>144</v>
      </c>
      <c r="D8" s="98" t="s">
        <v>83</v>
      </c>
      <c r="E8" s="99">
        <f>FS!E39/FS!D39-1</f>
        <v>0.1113193059662152</v>
      </c>
      <c r="F8" s="99">
        <f>FS!F39/FS!E39-1</f>
        <v>5.130373357120388E-2</v>
      </c>
      <c r="G8" s="99">
        <f>FS!G39/FS!F39-1</f>
        <v>5.7378134609819886E-2</v>
      </c>
      <c r="H8" s="99">
        <f>FS!H39/FS!G39-1</f>
        <v>0.25476362759286064</v>
      </c>
      <c r="I8" s="99">
        <f>FS!I39/FS!H39-1</f>
        <v>0.16047789972534066</v>
      </c>
      <c r="J8" s="99">
        <f>FS!J39/FS!I39-1</f>
        <v>-3.463203463203457E-2</v>
      </c>
      <c r="K8" s="99">
        <f>FS!K39/FS!J39-1</f>
        <v>0.3550091236962023</v>
      </c>
      <c r="L8" s="99">
        <f>FS!L39/FS!K39-1</f>
        <v>0.32967161416795521</v>
      </c>
      <c r="M8" s="99">
        <f>FS!M39/FS!L39-1</f>
        <v>-0.32837444576510511</v>
      </c>
      <c r="O8" s="99">
        <f t="shared" si="0"/>
        <v>0.1063241065480509</v>
      </c>
      <c r="P8" s="99">
        <f t="shared" si="1"/>
        <v>0.1113193059662152</v>
      </c>
    </row>
    <row r="9" spans="2:16" x14ac:dyDescent="0.35">
      <c r="B9" s="100" t="s">
        <v>143</v>
      </c>
      <c r="C9" s="100"/>
      <c r="D9" s="101" t="s">
        <v>83</v>
      </c>
      <c r="E9" s="102">
        <f>FS!E47/FS!D47-1</f>
        <v>0.37333889352237981</v>
      </c>
      <c r="F9" s="102">
        <f>FS!F47/FS!E47-1</f>
        <v>-0.15534727423632066</v>
      </c>
      <c r="G9" s="102">
        <f>FS!G47/FS!F47-1</f>
        <v>0.20690233672858005</v>
      </c>
      <c r="H9" s="102">
        <f>FS!H47/FS!G47-1</f>
        <v>0.14285714285714279</v>
      </c>
      <c r="I9" s="102">
        <f>FS!I47/FS!H47-1</f>
        <v>0.48749826244092298</v>
      </c>
      <c r="J9" s="102">
        <f>FS!J47/FS!I47-1</f>
        <v>7.2831552941588606E-2</v>
      </c>
      <c r="K9" s="102">
        <f>FS!K47/FS!J47-1</f>
        <v>0.33942521789783719</v>
      </c>
      <c r="L9" s="102">
        <f>FS!L47/FS!K47-1</f>
        <v>0.2982461844859472</v>
      </c>
      <c r="M9" s="102">
        <f>FS!M47/FS!L47-1</f>
        <v>-0.25525493560081891</v>
      </c>
      <c r="N9" s="100"/>
      <c r="O9" s="102">
        <f t="shared" si="0"/>
        <v>0.16783304233747323</v>
      </c>
      <c r="P9" s="102">
        <f t="shared" si="1"/>
        <v>0.20690233672858005</v>
      </c>
    </row>
    <row r="10" spans="2:16" x14ac:dyDescent="0.35">
      <c r="O10" s="92"/>
      <c r="P10" s="92"/>
    </row>
    <row r="11" spans="2:16" x14ac:dyDescent="0.35">
      <c r="B11" s="95" t="s">
        <v>140</v>
      </c>
      <c r="C11" s="95"/>
      <c r="D11" s="97">
        <f>FS!D16</f>
        <v>0.44604803002349436</v>
      </c>
      <c r="E11" s="97">
        <f>FS!E16</f>
        <v>0.42286709790671745</v>
      </c>
      <c r="F11" s="97">
        <f>FS!F16</f>
        <v>0.40133435961140124</v>
      </c>
      <c r="G11" s="97">
        <f>FS!G16</f>
        <v>0.39381282766800441</v>
      </c>
      <c r="H11" s="97">
        <f>FS!H16</f>
        <v>0.41682231430515182</v>
      </c>
      <c r="I11" s="97">
        <f>FS!I16</f>
        <v>0.42487999008879113</v>
      </c>
      <c r="J11" s="97">
        <f>FS!J16</f>
        <v>0.35411913152960972</v>
      </c>
      <c r="K11" s="97">
        <f>FS!K16</f>
        <v>0.36992814145199898</v>
      </c>
      <c r="L11" s="97">
        <f>FS!L16</f>
        <v>0.41751719198878262</v>
      </c>
      <c r="M11" s="97">
        <f>FS!M16</f>
        <v>0.40613119594922614</v>
      </c>
      <c r="N11" s="95"/>
      <c r="O11" s="97">
        <f t="shared" si="0"/>
        <v>0.40082358338885371</v>
      </c>
      <c r="P11" s="97">
        <f t="shared" si="1"/>
        <v>0.41147675512718895</v>
      </c>
    </row>
    <row r="12" spans="2:16" x14ac:dyDescent="0.35">
      <c r="B12" t="s">
        <v>87</v>
      </c>
      <c r="D12" s="99">
        <f>FS!D22</f>
        <v>0.19094292186730347</v>
      </c>
      <c r="E12" s="99">
        <f>FS!E22</f>
        <v>0.19876258050895004</v>
      </c>
      <c r="F12" s="99">
        <f>FS!F22</f>
        <v>0.19043659414367697</v>
      </c>
      <c r="G12" s="99">
        <f>FS!G22</f>
        <v>0.19568163000977656</v>
      </c>
      <c r="H12" s="99">
        <f>FS!H22</f>
        <v>0.20566862514688591</v>
      </c>
      <c r="I12" s="99">
        <f>FS!I22</f>
        <v>0.22362856178317028</v>
      </c>
      <c r="J12" s="99">
        <f>FS!J22</f>
        <v>0.16506524798909192</v>
      </c>
      <c r="K12" s="99">
        <f>FS!K22</f>
        <v>0.18150466574597562</v>
      </c>
      <c r="L12" s="99">
        <f>FS!L22</f>
        <v>0.21369313134654072</v>
      </c>
      <c r="M12" s="99">
        <f>FS!M22</f>
        <v>0.17714496888716391</v>
      </c>
      <c r="O12" s="99">
        <f t="shared" si="0"/>
        <v>0.19462066728458133</v>
      </c>
      <c r="P12" s="99">
        <f t="shared" si="1"/>
        <v>0.19331227593854</v>
      </c>
    </row>
    <row r="13" spans="2:16" x14ac:dyDescent="0.35">
      <c r="B13" t="s">
        <v>88</v>
      </c>
      <c r="D13" s="99">
        <f>FS!D28</f>
        <v>0.18658528296624968</v>
      </c>
      <c r="E13" s="99">
        <f>FS!E28</f>
        <v>0.19896906052918642</v>
      </c>
      <c r="F13" s="99">
        <f>FS!F28</f>
        <v>0.18900654103675879</v>
      </c>
      <c r="G13" s="99">
        <f>FS!G28</f>
        <v>0.1775752034939474</v>
      </c>
      <c r="H13" s="99">
        <f>FS!H28</f>
        <v>0.18461846743768931</v>
      </c>
      <c r="I13" s="99">
        <f>FS!I28</f>
        <v>0.20246039315997627</v>
      </c>
      <c r="J13" s="99">
        <f>FS!J28</f>
        <v>0.14718012403578129</v>
      </c>
      <c r="K13" s="99">
        <f>FS!K28</f>
        <v>0.16913651732355534</v>
      </c>
      <c r="L13" s="99">
        <f>FS!L28</f>
        <v>0.2127904621333927</v>
      </c>
      <c r="M13" s="99">
        <f>FS!M28</f>
        <v>0.15720373200667034</v>
      </c>
      <c r="O13" s="99">
        <f t="shared" si="0"/>
        <v>0.18210450012855087</v>
      </c>
      <c r="P13" s="99">
        <f t="shared" si="1"/>
        <v>0.1856018752019695</v>
      </c>
    </row>
    <row r="14" spans="2:16" x14ac:dyDescent="0.35">
      <c r="B14" t="s">
        <v>90</v>
      </c>
      <c r="D14" s="99">
        <f>FS!D34</f>
        <v>0.18315186431129477</v>
      </c>
      <c r="E14" s="99">
        <f>FS!E34</f>
        <v>0.19649063636345529</v>
      </c>
      <c r="F14" s="99">
        <f>FS!F34</f>
        <v>0.18654169056527517</v>
      </c>
      <c r="G14" s="99">
        <f>FS!G34</f>
        <v>0.17183355829716326</v>
      </c>
      <c r="H14" s="99">
        <f>FS!H34</f>
        <v>0.17955544560578884</v>
      </c>
      <c r="I14" s="99">
        <f>FS!I34</f>
        <v>0.19824029984170621</v>
      </c>
      <c r="J14" s="99">
        <f>FS!J34</f>
        <v>0.14390157408883733</v>
      </c>
      <c r="K14" s="99">
        <f>FS!K34</f>
        <v>0.16494817561402192</v>
      </c>
      <c r="L14" s="99">
        <f>FS!L34</f>
        <v>0.20701016742485434</v>
      </c>
      <c r="M14" s="99">
        <f>FS!M34</f>
        <v>0.15050808685993647</v>
      </c>
      <c r="O14" s="99">
        <f t="shared" si="0"/>
        <v>0.1776699594067821</v>
      </c>
      <c r="P14" s="99">
        <f t="shared" si="1"/>
        <v>0.1813536549585418</v>
      </c>
    </row>
    <row r="15" spans="2:16" x14ac:dyDescent="0.35">
      <c r="B15" s="100" t="s">
        <v>145</v>
      </c>
      <c r="C15" s="100"/>
      <c r="D15" s="102">
        <f>FS!D40</f>
        <v>0.12228295714042473</v>
      </c>
      <c r="E15" s="102">
        <f>FS!E40</f>
        <v>0.12876319795724203</v>
      </c>
      <c r="F15" s="102">
        <f>FS!F40</f>
        <v>0.12118778808348515</v>
      </c>
      <c r="G15" s="102">
        <f>FS!G40</f>
        <v>0.11205329693718286</v>
      </c>
      <c r="H15" s="102">
        <f>FS!H40</f>
        <v>0.13384476467313997</v>
      </c>
      <c r="I15" s="102">
        <f>FS!I40</f>
        <v>0.14458252486207437</v>
      </c>
      <c r="J15" s="102">
        <f>FS!J40</f>
        <v>0.10413871829692715</v>
      </c>
      <c r="K15" s="102">
        <f>FS!K40</f>
        <v>0.11906691459407301</v>
      </c>
      <c r="L15" s="102">
        <f>FS!L40</f>
        <v>0.15383213226301479</v>
      </c>
      <c r="M15" s="102">
        <f>FS!M40</f>
        <v>0.10815994516543274</v>
      </c>
      <c r="N15" s="100"/>
      <c r="O15" s="102">
        <f t="shared" si="0"/>
        <v>0.12506992031473022</v>
      </c>
      <c r="P15" s="102">
        <f t="shared" si="1"/>
        <v>0.12173537261195494</v>
      </c>
    </row>
    <row r="16" spans="2:16" x14ac:dyDescent="0.35">
      <c r="O16" s="92"/>
      <c r="P16" s="92"/>
    </row>
    <row r="17" spans="2:16" x14ac:dyDescent="0.35">
      <c r="B17" s="95" t="s">
        <v>146</v>
      </c>
      <c r="C17" s="95"/>
      <c r="D17" s="97">
        <f>FS!D19</f>
        <v>0.25918176728568637</v>
      </c>
      <c r="E17" s="97">
        <f>FS!E19</f>
        <v>0.2673046523068997</v>
      </c>
      <c r="F17" s="97">
        <f>FS!F19</f>
        <v>0.11403039011444586</v>
      </c>
      <c r="G17" s="97">
        <f>FS!G19</f>
        <v>0.10878824623326348</v>
      </c>
      <c r="H17" s="97">
        <f>FS!H19</f>
        <v>9.6800544251345183E-2</v>
      </c>
      <c r="I17" s="97">
        <f>FS!I19</f>
        <v>8.8152651041160532E-2</v>
      </c>
      <c r="J17" s="97">
        <f>FS!J19</f>
        <v>9.0927271927557826E-2</v>
      </c>
      <c r="K17" s="97">
        <f>FS!K19</f>
        <v>8.8996969722450248E-2</v>
      </c>
      <c r="L17" s="97">
        <f>FS!L19</f>
        <v>8.4263213158685804E-2</v>
      </c>
      <c r="M17" s="97">
        <f>FS!M19</f>
        <v>0.10395680716058282</v>
      </c>
      <c r="N17" s="95"/>
      <c r="O17" s="97">
        <f t="shared" si="0"/>
        <v>0.11591341621293237</v>
      </c>
      <c r="P17" s="97">
        <f t="shared" si="1"/>
        <v>0.10037867570596401</v>
      </c>
    </row>
    <row r="18" spans="2:16" x14ac:dyDescent="0.35">
      <c r="B18" t="s">
        <v>147</v>
      </c>
      <c r="D18" s="99">
        <f>FS!D25</f>
        <v>1.9309826794539322E-2</v>
      </c>
      <c r="E18" s="99">
        <f>FS!E25</f>
        <v>2.2227474590011016E-2</v>
      </c>
      <c r="F18" s="99">
        <f>FS!F25</f>
        <v>2.1425238713665449E-2</v>
      </c>
      <c r="G18" s="99">
        <f>FS!G25</f>
        <v>3.2335540352378074E-2</v>
      </c>
      <c r="H18" s="99">
        <f>FS!H25</f>
        <v>3.8617106809326486E-2</v>
      </c>
      <c r="I18" s="99">
        <f>FS!I25</f>
        <v>3.6442576011650275E-2</v>
      </c>
      <c r="J18" s="99">
        <f>FS!J25</f>
        <v>2.8052374328551871E-2</v>
      </c>
      <c r="K18" s="99">
        <f>FS!K25</f>
        <v>2.4878372818372688E-2</v>
      </c>
      <c r="L18" s="99">
        <f>FS!L25</f>
        <v>2.4031736542297968E-2</v>
      </c>
      <c r="M18" s="99">
        <f>FS!M25</f>
        <v>3.0270497929251843E-2</v>
      </c>
      <c r="O18" s="99">
        <f t="shared" si="0"/>
        <v>2.8697879788389519E-2</v>
      </c>
      <c r="P18" s="99">
        <f t="shared" si="1"/>
        <v>2.6465373573462278E-2</v>
      </c>
    </row>
    <row r="19" spans="2:16" x14ac:dyDescent="0.35">
      <c r="B19" s="100" t="s">
        <v>148</v>
      </c>
      <c r="C19" s="100"/>
      <c r="D19" s="102">
        <f>FS!D22</f>
        <v>0.19094292186730347</v>
      </c>
      <c r="E19" s="102">
        <f>FS!E22</f>
        <v>0.19876258050895004</v>
      </c>
      <c r="F19" s="102">
        <f>FS!F22</f>
        <v>0.19043659414367697</v>
      </c>
      <c r="G19" s="102">
        <f>FS!G22</f>
        <v>0.19568163000977656</v>
      </c>
      <c r="H19" s="102">
        <f>FS!H22</f>
        <v>0.20566862514688591</v>
      </c>
      <c r="I19" s="102">
        <f>FS!I22</f>
        <v>0.22362856178317028</v>
      </c>
      <c r="J19" s="102">
        <f>FS!J22</f>
        <v>0.16506524798909192</v>
      </c>
      <c r="K19" s="102">
        <f>FS!K22</f>
        <v>0.18150466574597562</v>
      </c>
      <c r="L19" s="102">
        <f>FS!L22</f>
        <v>0.21369313134654072</v>
      </c>
      <c r="M19" s="102">
        <f>FS!M22</f>
        <v>0.17714496888716391</v>
      </c>
      <c r="N19" s="100"/>
      <c r="O19" s="102">
        <f t="shared" si="0"/>
        <v>0.19462066728458133</v>
      </c>
      <c r="P19" s="102">
        <f t="shared" si="1"/>
        <v>0.19331227593854</v>
      </c>
    </row>
    <row r="20" spans="2:16" x14ac:dyDescent="0.35">
      <c r="O20" s="92"/>
      <c r="P20" s="92"/>
    </row>
    <row r="21" spans="2:16" x14ac:dyDescent="0.35">
      <c r="B21" s="95" t="s">
        <v>149</v>
      </c>
      <c r="C21" s="95"/>
      <c r="D21" s="97">
        <f>FS!D27/SUM(FS!D55:D57)</f>
        <v>0.38884451330367104</v>
      </c>
      <c r="E21" s="97">
        <f>FS!E27/SUM(FS!E55:E57)</f>
        <v>0.36707319612504796</v>
      </c>
      <c r="F21" s="97">
        <f>FS!F27/SUM(FS!F55:F57)</f>
        <v>0.35555354295668662</v>
      </c>
      <c r="G21" s="97">
        <f>FS!G27/SUM(FS!G55:G57)</f>
        <v>0.31663785952929313</v>
      </c>
      <c r="H21" s="97">
        <f>FS!H27/SUM(FS!H55:H57)</f>
        <v>0.33171684449525529</v>
      </c>
      <c r="I21" s="97">
        <f>FS!I27/SUM(FS!I55:I57)</f>
        <v>0.31627097840843615</v>
      </c>
      <c r="J21" s="97">
        <f>FS!J27/SUM(FS!J55:J57)</f>
        <v>0.27815350126376448</v>
      </c>
      <c r="K21" s="97">
        <f>FS!K27/SUM(FS!K55:K57)</f>
        <v>0.32542978044446663</v>
      </c>
      <c r="L21" s="97">
        <f>FS!L27/SUM(FS!L55:L57)</f>
        <v>0.35622572240867656</v>
      </c>
      <c r="M21" s="97">
        <f>FS!M27/SUM(FS!M55:M57)</f>
        <v>0.24573837833850481</v>
      </c>
      <c r="N21" s="95"/>
      <c r="O21" s="97">
        <f t="shared" si="0"/>
        <v>0.32142220044112574</v>
      </c>
      <c r="P21" s="97">
        <f t="shared" si="1"/>
        <v>0.32857331246986099</v>
      </c>
    </row>
    <row r="22" spans="2:16" x14ac:dyDescent="0.35">
      <c r="B22" t="s">
        <v>150</v>
      </c>
      <c r="D22" s="99">
        <f>FS!D50</f>
        <v>0.58777418689403838</v>
      </c>
      <c r="E22" s="99">
        <f>FS!E50</f>
        <v>0.49058228448564778</v>
      </c>
      <c r="F22" s="99">
        <f>FS!F50</f>
        <v>0.59071669944529726</v>
      </c>
      <c r="G22" s="99">
        <f>FS!G50</f>
        <v>0.53283980852721813</v>
      </c>
      <c r="H22" s="99">
        <f>FS!H50</f>
        <v>0.57450363563103246</v>
      </c>
      <c r="I22" s="99">
        <f>FS!I50</f>
        <v>0.45459960691748769</v>
      </c>
      <c r="J22" s="99">
        <f>FS!J50</f>
        <v>0.3938862986170919</v>
      </c>
      <c r="K22" s="99">
        <f>FS!K50</f>
        <v>0.40085718808216342</v>
      </c>
      <c r="L22" s="99">
        <f>FS!L50</f>
        <v>0.41501731612038317</v>
      </c>
      <c r="M22" s="99">
        <f>FS!M50</f>
        <v>0.35133056830359699</v>
      </c>
      <c r="O22" s="99">
        <f t="shared" si="0"/>
        <v>0.46714815623665767</v>
      </c>
      <c r="P22" s="99">
        <f t="shared" si="1"/>
        <v>0.47259094570156773</v>
      </c>
    </row>
    <row r="23" spans="2:16" x14ac:dyDescent="0.35">
      <c r="B23" t="s">
        <v>151</v>
      </c>
      <c r="D23" s="99">
        <f>FS!D33/SUM(FS!D55:D56)</f>
        <v>0.40060108937871086</v>
      </c>
      <c r="E23" s="99">
        <f>FS!E33/SUM(FS!E55:E56)</f>
        <v>0.38921394181136232</v>
      </c>
      <c r="F23" s="99">
        <f>FS!F33/SUM(FS!F55:F56)</f>
        <v>0.37317409868695628</v>
      </c>
      <c r="G23" s="99">
        <f>FS!G33/SUM(FS!G55:G56)</f>
        <v>0.34909271372834738</v>
      </c>
      <c r="H23" s="99">
        <f>FS!H33/SUM(FS!H55:H56)</f>
        <v>0.35824113340756708</v>
      </c>
      <c r="I23" s="99">
        <f>FS!I33/SUM(FS!I55:I56)</f>
        <v>0.33611217612595062</v>
      </c>
      <c r="J23" s="99">
        <f>FS!J33/SUM(FS!J55:J56)</f>
        <v>0.30320398275068133</v>
      </c>
      <c r="K23" s="99">
        <f>FS!K33/SUM(FS!K55:K56)</f>
        <v>0.35572462377041852</v>
      </c>
      <c r="L23" s="99">
        <f>FS!L33/SUM(FS!L55:L56)</f>
        <v>0.39233512918951535</v>
      </c>
      <c r="M23" s="99">
        <f>FS!M33/SUM(FS!M55:M56)</f>
        <v>0.26304742159845895</v>
      </c>
      <c r="O23" s="99">
        <f t="shared" si="0"/>
        <v>0.34668280234102861</v>
      </c>
      <c r="P23" s="99">
        <f t="shared" si="1"/>
        <v>0.3569828785889928</v>
      </c>
    </row>
    <row r="24" spans="2:16" x14ac:dyDescent="0.35">
      <c r="B24" t="s">
        <v>152</v>
      </c>
      <c r="D24" s="103">
        <f>D22*D23</f>
        <v>0.23546297957843776</v>
      </c>
      <c r="E24" s="103">
        <f t="shared" ref="E24:M24" si="2">E22*E23</f>
        <v>0.19094146472748211</v>
      </c>
      <c r="F24" s="103">
        <f t="shared" si="2"/>
        <v>0.22044017189483245</v>
      </c>
      <c r="G24" s="103">
        <f t="shared" si="2"/>
        <v>0.18601049474125958</v>
      </c>
      <c r="H24" s="103">
        <f t="shared" si="2"/>
        <v>0.205810833575229</v>
      </c>
      <c r="I24" s="103">
        <f t="shared" si="2"/>
        <v>0.15279646314703854</v>
      </c>
      <c r="J24" s="103">
        <f t="shared" si="2"/>
        <v>0.11942789449162645</v>
      </c>
      <c r="K24" s="103">
        <f t="shared" si="2"/>
        <v>0.14259477241619548</v>
      </c>
      <c r="L24" s="103">
        <f t="shared" si="2"/>
        <v>0.16282587233597645</v>
      </c>
      <c r="M24" s="103">
        <f t="shared" si="2"/>
        <v>9.2416600120982462E-2</v>
      </c>
      <c r="O24" s="99">
        <f t="shared" si="0"/>
        <v>0.16369606305006917</v>
      </c>
      <c r="P24" s="99">
        <f t="shared" si="1"/>
        <v>0.17441818353861802</v>
      </c>
    </row>
    <row r="25" spans="2:16" x14ac:dyDescent="0.35">
      <c r="B25" s="100" t="s">
        <v>153</v>
      </c>
      <c r="C25" s="100"/>
      <c r="D25" s="104">
        <f>FS!D27/FS!D30</f>
        <v>54.343877551020462</v>
      </c>
      <c r="E25" s="104">
        <f>FS!E27/FS!E30</f>
        <v>80.280471470667038</v>
      </c>
      <c r="F25" s="104">
        <f>FS!F27/FS!F30</f>
        <v>76.680733060043408</v>
      </c>
      <c r="G25" s="104">
        <f>FS!G27/FS!G30</f>
        <v>30.92758214899975</v>
      </c>
      <c r="H25" s="104">
        <f>FS!H27/FS!H30</f>
        <v>36.464086778070929</v>
      </c>
      <c r="I25" s="104">
        <f>FS!I27/FS!I30</f>
        <v>47.975335588780986</v>
      </c>
      <c r="J25" s="104">
        <f>FS!J27/FS!J30</f>
        <v>44.891835237396513</v>
      </c>
      <c r="K25" s="104">
        <f>FS!K27/FS!K30</f>
        <v>40.382692973347162</v>
      </c>
      <c r="L25" s="104">
        <f>FS!L27/FS!L30</f>
        <v>36.813081834576202</v>
      </c>
      <c r="M25" s="104">
        <f>FS!M27/FS!M30</f>
        <v>23.47850409655538</v>
      </c>
      <c r="N25" s="100"/>
      <c r="O25" s="104">
        <f t="shared" si="0"/>
        <v>46.432702576493043</v>
      </c>
      <c r="P25" s="104">
        <f t="shared" si="1"/>
        <v>42.637264105371841</v>
      </c>
    </row>
    <row r="26" spans="2:16" x14ac:dyDescent="0.35">
      <c r="O26" s="92"/>
      <c r="P26" s="92"/>
    </row>
    <row r="27" spans="2:16" x14ac:dyDescent="0.35">
      <c r="B27" s="95" t="s">
        <v>154</v>
      </c>
      <c r="C27" s="95"/>
      <c r="D27" s="105">
        <f>FS!D9/'Data Sheet'!B67</f>
        <v>12.024780088301709</v>
      </c>
      <c r="E27" s="105">
        <f>FS!E9/'Data Sheet'!C67</f>
        <v>10.41199364025992</v>
      </c>
      <c r="F27" s="105">
        <f>FS!F9/'Data Sheet'!D67</f>
        <v>9.7216331624899599</v>
      </c>
      <c r="G27" s="105">
        <f>FS!G9/'Data Sheet'!E67</f>
        <v>10.08746782150965</v>
      </c>
      <c r="H27" s="105">
        <f>FS!H9/'Data Sheet'!F67</f>
        <v>11.258369447755706</v>
      </c>
      <c r="I27" s="105">
        <f>FS!I9/'Data Sheet'!G67</f>
        <v>8.3441089552181449</v>
      </c>
      <c r="J27" s="105">
        <f>FS!J9/'Data Sheet'!H67</f>
        <v>7.5169136032070751</v>
      </c>
      <c r="K27" s="105">
        <f>FS!K9/'Data Sheet'!I67</f>
        <v>7.4377908707035241</v>
      </c>
      <c r="L27" s="105">
        <f>FS!L9/'Data Sheet'!J67</f>
        <v>7.2600464302880932</v>
      </c>
      <c r="M27" s="105">
        <f>FS!M9/'Data Sheet'!K67</f>
        <v>7.8600767331610131</v>
      </c>
      <c r="N27" s="95"/>
      <c r="O27" s="105">
        <f t="shared" si="0"/>
        <v>8.8776000738436753</v>
      </c>
      <c r="P27" s="105">
        <f t="shared" si="1"/>
        <v>9.0328710588540524</v>
      </c>
    </row>
    <row r="28" spans="2:16" x14ac:dyDescent="0.35">
      <c r="B28" t="s">
        <v>155</v>
      </c>
      <c r="D28" s="106">
        <f>FS!D9/FS!D58</f>
        <v>3.8458091254998759</v>
      </c>
      <c r="E28" s="106">
        <f>FS!E9/FS!E58</f>
        <v>3.5515520070927336</v>
      </c>
      <c r="F28" s="106">
        <f>FS!F9/FS!F58</f>
        <v>3.4907008975438916</v>
      </c>
      <c r="G28" s="106">
        <f>FS!G9/FS!G58</f>
        <v>3.5246789980746303</v>
      </c>
      <c r="H28" s="106">
        <f>FS!H9/FS!H58</f>
        <v>4.1337632508472559</v>
      </c>
      <c r="I28" s="106">
        <f>FS!I9/FS!I58</f>
        <v>3.3632319433451108</v>
      </c>
      <c r="J28" s="106">
        <f>FS!J9/FS!J58</f>
        <v>3.8493807531491444</v>
      </c>
      <c r="K28" s="106">
        <f>FS!K9/FS!K58</f>
        <v>4.3909450402827428</v>
      </c>
      <c r="L28" s="106">
        <f>FS!L9/FS!L58</f>
        <v>4.0807499117622381</v>
      </c>
      <c r="M28" s="106">
        <f>FS!M9/FS!M58</f>
        <v>3.9128716756201571</v>
      </c>
      <c r="O28" s="106">
        <f t="shared" si="0"/>
        <v>3.8108749419686569</v>
      </c>
      <c r="P28" s="106">
        <f t="shared" si="1"/>
        <v>3.8475949393245101</v>
      </c>
    </row>
    <row r="29" spans="2:16" x14ac:dyDescent="0.35">
      <c r="B29" t="s">
        <v>156</v>
      </c>
      <c r="D29" s="106">
        <f>FS!D9/FS!D69</f>
        <v>7.142029986388021</v>
      </c>
      <c r="E29" s="106">
        <f>FS!E9/FS!E69</f>
        <v>5.7336635020213631</v>
      </c>
      <c r="F29" s="106">
        <f>FS!F9/FS!F69</f>
        <v>6.3290398787199385</v>
      </c>
      <c r="G29" s="106">
        <f>FS!G9/FS!G69</f>
        <v>6.1082492555224679</v>
      </c>
      <c r="H29" s="106">
        <f>FS!H9/FS!H69</f>
        <v>5.9623548222466747</v>
      </c>
      <c r="I29" s="106">
        <f>FS!I9/FS!I69</f>
        <v>5.7159979992628864</v>
      </c>
      <c r="J29" s="106">
        <f>FS!J9/FS!J69</f>
        <v>4.7296236945350056</v>
      </c>
      <c r="K29" s="106">
        <f>FS!K9/FS!K69</f>
        <v>5.5531458915667296</v>
      </c>
      <c r="L29" s="106">
        <f>FS!L9/FS!L69</f>
        <v>5.9922797847861293</v>
      </c>
      <c r="M29" s="106">
        <f>FS!M9/FS!M69</f>
        <v>5.0460273214203326</v>
      </c>
      <c r="O29" s="106">
        <f t="shared" si="0"/>
        <v>5.6855980166757245</v>
      </c>
      <c r="P29" s="106">
        <f t="shared" si="1"/>
        <v>5.8480091621340193</v>
      </c>
    </row>
    <row r="30" spans="2:16" x14ac:dyDescent="0.35">
      <c r="B30" t="s">
        <v>157</v>
      </c>
      <c r="D30" s="106">
        <f>FS!D9/FS!D61</f>
        <v>4.1774086378737545</v>
      </c>
      <c r="E30" s="106">
        <f>FS!E9/FS!E61</f>
        <v>4.5590724451682032</v>
      </c>
      <c r="F30" s="106">
        <f>FS!F9/FS!F61</f>
        <v>4.50789606241828</v>
      </c>
      <c r="G30" s="106">
        <f>FS!G9/FS!G61</f>
        <v>2.9615873631583485</v>
      </c>
      <c r="H30" s="106">
        <f>FS!H9/FS!H61</f>
        <v>3.2222976861794139</v>
      </c>
      <c r="I30" s="106">
        <f>FS!I9/FS!I61</f>
        <v>3.7061903006220001</v>
      </c>
      <c r="J30" s="106">
        <f>FS!J9/FS!J61</f>
        <v>5.2728689305787571</v>
      </c>
      <c r="K30" s="106">
        <f>FS!K9/FS!K61</f>
        <v>5.9767488207179316</v>
      </c>
      <c r="L30" s="106">
        <f>FS!L9/FS!L61</f>
        <v>4.9666457710078333</v>
      </c>
      <c r="M30" s="106">
        <f>FS!M9/FS!M61</f>
        <v>3.6773592477305019</v>
      </c>
      <c r="O30" s="106">
        <f t="shared" si="0"/>
        <v>4.3167407363979189</v>
      </c>
      <c r="P30" s="106">
        <f t="shared" si="1"/>
        <v>4.3426523501460172</v>
      </c>
    </row>
    <row r="31" spans="2:16" x14ac:dyDescent="0.35">
      <c r="B31" s="100" t="s">
        <v>158</v>
      </c>
      <c r="C31" s="100"/>
      <c r="D31" s="104">
        <f>FS!D9/SUM(FS!D55:D56)</f>
        <v>2.1872618708255556</v>
      </c>
      <c r="E31" s="104">
        <f>FS!E9/SUM(FS!E55:E56)</f>
        <v>1.9808269188533763</v>
      </c>
      <c r="F31" s="104">
        <f>FS!F9/SUM(FS!F55:F56)</f>
        <v>2.0004863125027494</v>
      </c>
      <c r="G31" s="104">
        <f>FS!G9/SUM(FS!G55:G56)</f>
        <v>2.0315747237488848</v>
      </c>
      <c r="H31" s="104">
        <f>FS!H9/SUM(FS!H55:H56)</f>
        <v>1.995156048867935</v>
      </c>
      <c r="I31" s="104">
        <f>FS!I9/SUM(FS!I55:I56)</f>
        <v>1.6954785499937921</v>
      </c>
      <c r="J31" s="104">
        <f>FS!J9/SUM(FS!J55:J56)</f>
        <v>2.1070233919991659</v>
      </c>
      <c r="K31" s="104">
        <f>FS!K9/SUM(FS!K55:K56)</f>
        <v>2.1565841661857039</v>
      </c>
      <c r="L31" s="104">
        <f>FS!L9/SUM(FS!L55:L56)</f>
        <v>1.8952456976874572</v>
      </c>
      <c r="M31" s="104">
        <f>FS!M9/SUM(FS!M55:M56)</f>
        <v>1.7477294880723062</v>
      </c>
      <c r="N31" s="100"/>
      <c r="O31" s="104">
        <f t="shared" si="0"/>
        <v>1.9566783664345968</v>
      </c>
      <c r="P31" s="104">
        <f t="shared" si="1"/>
        <v>1.9978211806853423</v>
      </c>
    </row>
    <row r="32" spans="2:16" x14ac:dyDescent="0.35">
      <c r="O32" s="92"/>
      <c r="P32" s="92"/>
    </row>
    <row r="33" spans="2:16" x14ac:dyDescent="0.35">
      <c r="B33" s="95" t="s">
        <v>46</v>
      </c>
      <c r="C33" s="95"/>
      <c r="D33" s="107">
        <f>IFERROR(365/D27,0)</f>
        <v>30.353985463325834</v>
      </c>
      <c r="E33" s="107">
        <f t="shared" ref="E33:M33" si="3">IFERROR(365/E27,0)</f>
        <v>35.055726368162503</v>
      </c>
      <c r="F33" s="107">
        <f t="shared" si="3"/>
        <v>37.545131964896534</v>
      </c>
      <c r="G33" s="107">
        <f t="shared" si="3"/>
        <v>36.183510714324697</v>
      </c>
      <c r="H33" s="107">
        <f t="shared" si="3"/>
        <v>32.420325313872226</v>
      </c>
      <c r="I33" s="107">
        <f t="shared" si="3"/>
        <v>43.743436472235949</v>
      </c>
      <c r="J33" s="107">
        <f t="shared" si="3"/>
        <v>48.557163121347244</v>
      </c>
      <c r="K33" s="107">
        <f t="shared" si="3"/>
        <v>49.073711044725229</v>
      </c>
      <c r="L33" s="107">
        <f t="shared" si="3"/>
        <v>50.275160566089667</v>
      </c>
      <c r="M33" s="107">
        <f t="shared" si="3"/>
        <v>46.437205690384069</v>
      </c>
      <c r="N33" s="95"/>
      <c r="O33" s="107">
        <f t="shared" si="0"/>
        <v>42.143485695115345</v>
      </c>
      <c r="P33" s="107">
        <f t="shared" si="1"/>
        <v>40.644284218566241</v>
      </c>
    </row>
    <row r="34" spans="2:16" x14ac:dyDescent="0.35">
      <c r="B34" t="s">
        <v>162</v>
      </c>
      <c r="D34" s="108">
        <f t="shared" ref="D34:M36" si="4">IFERROR(365/D28,0)</f>
        <v>94.908506399822301</v>
      </c>
      <c r="E34" s="108">
        <f t="shared" si="4"/>
        <v>102.77197103437196</v>
      </c>
      <c r="F34" s="108">
        <f t="shared" si="4"/>
        <v>104.56352770207822</v>
      </c>
      <c r="G34" s="108">
        <f t="shared" si="4"/>
        <v>103.55552951045547</v>
      </c>
      <c r="H34" s="108">
        <f t="shared" si="4"/>
        <v>88.297267610860303</v>
      </c>
      <c r="I34" s="108">
        <f t="shared" si="4"/>
        <v>108.52656199410578</v>
      </c>
      <c r="J34" s="108">
        <f t="shared" si="4"/>
        <v>94.820446042235943</v>
      </c>
      <c r="K34" s="108">
        <f t="shared" si="4"/>
        <v>83.125613427513272</v>
      </c>
      <c r="L34" s="108">
        <f t="shared" si="4"/>
        <v>89.444344273079395</v>
      </c>
      <c r="M34" s="108">
        <f t="shared" si="4"/>
        <v>93.281873329554202</v>
      </c>
      <c r="O34" s="108">
        <f t="shared" si="0"/>
        <v>96.487459436028288</v>
      </c>
      <c r="P34" s="108">
        <f t="shared" si="1"/>
        <v>94.864476221029122</v>
      </c>
    </row>
    <row r="35" spans="2:16" x14ac:dyDescent="0.35">
      <c r="B35" t="s">
        <v>163</v>
      </c>
      <c r="D35" s="108">
        <f t="shared" si="4"/>
        <v>51.105918162714616</v>
      </c>
      <c r="E35" s="108">
        <f t="shared" si="4"/>
        <v>63.659124723891068</v>
      </c>
      <c r="F35" s="108">
        <f t="shared" si="4"/>
        <v>57.670674698580349</v>
      </c>
      <c r="G35" s="108">
        <f t="shared" si="4"/>
        <v>59.755256331428114</v>
      </c>
      <c r="H35" s="108">
        <f t="shared" si="4"/>
        <v>61.217423464654587</v>
      </c>
      <c r="I35" s="108">
        <f t="shared" si="4"/>
        <v>63.855865598110604</v>
      </c>
      <c r="J35" s="108">
        <f t="shared" si="4"/>
        <v>77.173158706421162</v>
      </c>
      <c r="K35" s="108">
        <f t="shared" si="4"/>
        <v>65.728509051834251</v>
      </c>
      <c r="L35" s="108">
        <f t="shared" si="4"/>
        <v>60.911708583217838</v>
      </c>
      <c r="M35" s="108">
        <f t="shared" si="4"/>
        <v>72.334130742926988</v>
      </c>
      <c r="O35" s="108">
        <f t="shared" si="0"/>
        <v>64.70065021122943</v>
      </c>
      <c r="P35" s="108">
        <f t="shared" si="1"/>
        <v>62.438274094272828</v>
      </c>
    </row>
    <row r="36" spans="2:16" x14ac:dyDescent="0.35">
      <c r="B36" s="100" t="s">
        <v>170</v>
      </c>
      <c r="C36" s="100"/>
      <c r="D36" s="109">
        <f t="shared" si="4"/>
        <v>87.374741530141549</v>
      </c>
      <c r="E36" s="109">
        <f t="shared" si="4"/>
        <v>80.060144775026416</v>
      </c>
      <c r="F36" s="109">
        <f t="shared" si="4"/>
        <v>80.969036318950572</v>
      </c>
      <c r="G36" s="109">
        <f t="shared" si="4"/>
        <v>123.24471820096849</v>
      </c>
      <c r="H36" s="109">
        <f t="shared" si="4"/>
        <v>113.27320922753417</v>
      </c>
      <c r="I36" s="109">
        <f t="shared" si="4"/>
        <v>98.483879777771534</v>
      </c>
      <c r="J36" s="109">
        <f t="shared" si="4"/>
        <v>69.222278195323383</v>
      </c>
      <c r="K36" s="109">
        <f t="shared" si="4"/>
        <v>61.069991553728357</v>
      </c>
      <c r="L36" s="109">
        <f t="shared" si="4"/>
        <v>73.49024207255556</v>
      </c>
      <c r="M36" s="109">
        <f t="shared" si="4"/>
        <v>99.256008295969806</v>
      </c>
      <c r="N36" s="100"/>
      <c r="O36" s="109">
        <f t="shared" si="0"/>
        <v>88.785500935314246</v>
      </c>
      <c r="P36" s="109">
        <f t="shared" si="1"/>
        <v>84.171888924546067</v>
      </c>
    </row>
    <row r="37" spans="2:16" x14ac:dyDescent="0.35">
      <c r="O37" s="92"/>
      <c r="P37" s="92"/>
    </row>
    <row r="38" spans="2:16" x14ac:dyDescent="0.35">
      <c r="B38" s="95" t="s">
        <v>164</v>
      </c>
      <c r="C38" s="95"/>
      <c r="D38" s="97">
        <f>FS!D86/FS!D9</f>
        <v>0.15723656044323334</v>
      </c>
      <c r="E38" s="97">
        <f>FS!E86/FS!E9</f>
        <v>0.101447418302628</v>
      </c>
      <c r="F38" s="97">
        <f>FS!F86/FS!F9</f>
        <v>0.12559028324680305</v>
      </c>
      <c r="G38" s="97">
        <f>FS!G86/FS!G9</f>
        <v>0.12832553626196913</v>
      </c>
      <c r="H38" s="97">
        <f>FS!H86/FS!H9</f>
        <v>0.15031232605603315</v>
      </c>
      <c r="I38" s="97">
        <f>FS!I86/FS!I9</f>
        <v>0.16966958184553896</v>
      </c>
      <c r="J38" s="97">
        <f>FS!J86/FS!J9</f>
        <v>3.3881671184222827E-2</v>
      </c>
      <c r="K38" s="97">
        <f>FS!K86/FS!K9</f>
        <v>0.12160543530483561</v>
      </c>
      <c r="L38" s="97">
        <f>FS!L86/FS!L9</f>
        <v>0.171969190919328</v>
      </c>
      <c r="M38" s="97">
        <f>FS!M86/FS!M9</f>
        <v>0.13047984375451621</v>
      </c>
      <c r="N38" s="95"/>
      <c r="O38" s="97">
        <f t="shared" si="0"/>
        <v>0.12592014298620832</v>
      </c>
      <c r="P38" s="97">
        <f t="shared" si="1"/>
        <v>0.12940269000824267</v>
      </c>
    </row>
    <row r="39" spans="2:16" x14ac:dyDescent="0.35">
      <c r="B39" t="s">
        <v>165</v>
      </c>
      <c r="D39" s="99">
        <f>FS!D86/FS!D72</f>
        <v>0.21251952120601988</v>
      </c>
      <c r="E39" s="99">
        <f>FS!E86/FS!E72</f>
        <v>0.12317425206707838</v>
      </c>
      <c r="F39" s="99">
        <f>FS!F86/FS!F72</f>
        <v>0.15352221967118782</v>
      </c>
      <c r="G39" s="99">
        <f>FS!G86/FS!G72</f>
        <v>0.15194930838139828</v>
      </c>
      <c r="H39" s="99">
        <f>FS!H86/FS!H72</f>
        <v>0.1882516822128186</v>
      </c>
      <c r="I39" s="99">
        <f>FS!I86/FS!I72</f>
        <v>0.18098444928947391</v>
      </c>
      <c r="J39" s="99">
        <f>FS!J86/FS!J72</f>
        <v>4.2947187590789089E-2</v>
      </c>
      <c r="K39" s="99">
        <f>FS!K86/FS!K72</f>
        <v>0.16268847949112719</v>
      </c>
      <c r="L39" s="99">
        <f>FS!L86/FS!L72</f>
        <v>0.20414190002464819</v>
      </c>
      <c r="M39" s="99">
        <f>FS!M86/FS!M72</f>
        <v>0.14574085207665891</v>
      </c>
      <c r="O39" s="99">
        <f t="shared" si="0"/>
        <v>0.15037781453390894</v>
      </c>
      <c r="P39" s="99">
        <f t="shared" si="1"/>
        <v>0.15810534958115752</v>
      </c>
    </row>
    <row r="40" spans="2:16" ht="15" thickBot="1" x14ac:dyDescent="0.4">
      <c r="B40" s="110" t="s">
        <v>166</v>
      </c>
      <c r="C40" s="110"/>
      <c r="D40" s="111">
        <f>FS!D86/FS!D57</f>
        <v>6.9411364409663143</v>
      </c>
      <c r="E40" s="111">
        <f>FS!E86/FS!E57</f>
        <v>2.7269158011207479</v>
      </c>
      <c r="F40" s="111">
        <f>FS!F86/FS!F57</f>
        <v>3.9611570402864484</v>
      </c>
      <c r="G40" s="111">
        <f>FS!G86/FS!G57</f>
        <v>1.8710215216732344</v>
      </c>
      <c r="H40" s="111">
        <f>FS!H86/FS!H57</f>
        <v>2.7161376843987481</v>
      </c>
      <c r="I40" s="111">
        <f>FS!I86/FS!I57</f>
        <v>3.3701697892271665</v>
      </c>
      <c r="J40" s="111">
        <f>FS!J86/FS!J57</f>
        <v>0.62134502923976609</v>
      </c>
      <c r="K40" s="111">
        <f>FS!K86/FS!K57</f>
        <v>2.1701110409702893</v>
      </c>
      <c r="L40" s="111">
        <f>FS!L86/FS!L57</f>
        <v>2.4668805923099928</v>
      </c>
      <c r="M40" s="111">
        <f>FS!M86/FS!M57</f>
        <v>1.9316331119639871</v>
      </c>
      <c r="N40" s="110"/>
      <c r="O40" s="111">
        <f t="shared" si="0"/>
        <v>2.4261524012433755</v>
      </c>
      <c r="P40" s="111">
        <f t="shared" si="1"/>
        <v>2.5915091383543705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671B87F-0D41-4BFB-8530-52F7A248A1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  <x14:sparkline>
              <xm:f>'Ratio Analysis'!E10:M10</xm:f>
              <xm:sqref>N10</xm:sqref>
            </x14:sparkline>
          </x14:sparklines>
        </x14:sparklineGroup>
        <x14:sparklineGroup displayEmptyCellsAs="gap" xr2:uid="{43A7834B-126F-401C-A9F7-C0385DC0EB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305F-8149-4E56-9A5D-0DF10F8F0CD7}">
  <dimension ref="B2:O24"/>
  <sheetViews>
    <sheetView showGridLines="0" workbookViewId="0">
      <selection activeCell="K9" sqref="K9"/>
    </sheetView>
  </sheetViews>
  <sheetFormatPr defaultRowHeight="14.5" x14ac:dyDescent="0.35"/>
  <cols>
    <col min="1" max="1" width="1.81640625" customWidth="1"/>
    <col min="2" max="2" width="11" bestFit="1" customWidth="1"/>
    <col min="3" max="3" width="7" customWidth="1"/>
    <col min="4" max="4" width="7.36328125" customWidth="1"/>
    <col min="5" max="5" width="11.81640625" bestFit="1" customWidth="1"/>
    <col min="7" max="7" width="17.26953125" bestFit="1" customWidth="1"/>
    <col min="8" max="8" width="11.81640625" bestFit="1" customWidth="1"/>
    <col min="9" max="9" width="13.54296875" bestFit="1" customWidth="1"/>
    <col min="10" max="11" width="11.81640625" bestFit="1" customWidth="1"/>
    <col min="12" max="12" width="12.453125" bestFit="1" customWidth="1"/>
    <col min="13" max="13" width="11.81640625" bestFit="1" customWidth="1"/>
    <col min="14" max="15" width="12" bestFit="1" customWidth="1"/>
  </cols>
  <sheetData>
    <row r="2" spans="2:12" x14ac:dyDescent="0.35">
      <c r="B2" t="str">
        <f>"Sales - Forecasting    "&amp;'Data Sheet'!B1</f>
        <v>Sales - Forecasting    ASIAN PAINTS LTD</v>
      </c>
    </row>
    <row r="3" spans="2:12" x14ac:dyDescent="0.35">
      <c r="B3" s="114" t="s">
        <v>171</v>
      </c>
      <c r="C3" s="114" t="str">
        <f>FS!B5</f>
        <v>Years</v>
      </c>
      <c r="D3" s="114" t="str">
        <f>FS!B9</f>
        <v>Sales</v>
      </c>
      <c r="E3" s="114" t="str">
        <f>FS!B10</f>
        <v>Sales Growth</v>
      </c>
    </row>
    <row r="4" spans="2:12" x14ac:dyDescent="0.35">
      <c r="B4">
        <v>1</v>
      </c>
      <c r="C4" s="112">
        <f t="array" ref="C4:C13">TRANSPOSE(FS!D5:M5)</f>
        <v>42460</v>
      </c>
      <c r="D4" s="108">
        <f t="array" ref="D4:D13">TRANSPOSE(FS!D9:M9)</f>
        <v>14271.49</v>
      </c>
    </row>
    <row r="5" spans="2:12" x14ac:dyDescent="0.35">
      <c r="B5">
        <f>B4+1</f>
        <v>2</v>
      </c>
      <c r="C5" s="112">
        <v>42825</v>
      </c>
      <c r="D5" s="108">
        <v>15061.99</v>
      </c>
      <c r="E5" s="92">
        <f>D5/D4-1</f>
        <v>5.5390151974320734E-2</v>
      </c>
    </row>
    <row r="6" spans="2:12" x14ac:dyDescent="0.35">
      <c r="B6">
        <f t="shared" ref="B6:B18" si="0">B5+1</f>
        <v>3</v>
      </c>
      <c r="C6" s="112">
        <v>43190</v>
      </c>
      <c r="D6" s="108">
        <v>16824.55</v>
      </c>
      <c r="E6" s="92">
        <f t="shared" ref="E6:E18" si="1">D6/D5-1</f>
        <v>0.11702039371955486</v>
      </c>
    </row>
    <row r="7" spans="2:12" x14ac:dyDescent="0.35">
      <c r="B7">
        <f t="shared" si="0"/>
        <v>4</v>
      </c>
      <c r="C7" s="112">
        <v>43555</v>
      </c>
      <c r="D7" s="108">
        <v>19240.13</v>
      </c>
      <c r="E7" s="92">
        <f t="shared" si="1"/>
        <v>0.14357471670861943</v>
      </c>
      <c r="G7" s="115"/>
      <c r="H7" s="115"/>
    </row>
    <row r="8" spans="2:12" x14ac:dyDescent="0.35">
      <c r="B8">
        <f t="shared" si="0"/>
        <v>5</v>
      </c>
      <c r="C8" s="112">
        <v>43921</v>
      </c>
      <c r="D8" s="108">
        <v>20211.25</v>
      </c>
      <c r="E8" s="92">
        <f t="shared" si="1"/>
        <v>5.0473671435691925E-2</v>
      </c>
    </row>
    <row r="9" spans="2:12" x14ac:dyDescent="0.35">
      <c r="B9">
        <f t="shared" si="0"/>
        <v>6</v>
      </c>
      <c r="C9" s="112">
        <v>44286</v>
      </c>
      <c r="D9" s="108">
        <v>21712.79</v>
      </c>
      <c r="E9" s="92">
        <f t="shared" si="1"/>
        <v>7.4292287711052118E-2</v>
      </c>
    </row>
    <row r="10" spans="2:12" x14ac:dyDescent="0.35">
      <c r="B10">
        <f t="shared" si="0"/>
        <v>7</v>
      </c>
      <c r="C10" s="112">
        <v>44651</v>
      </c>
      <c r="D10" s="108">
        <v>29101.279999999999</v>
      </c>
      <c r="E10" s="92">
        <f t="shared" si="1"/>
        <v>0.34028284711453471</v>
      </c>
    </row>
    <row r="11" spans="2:12" x14ac:dyDescent="0.35">
      <c r="B11">
        <f t="shared" si="0"/>
        <v>8</v>
      </c>
      <c r="C11" s="112">
        <v>45016</v>
      </c>
      <c r="D11" s="108">
        <v>34488.589999999997</v>
      </c>
      <c r="E11" s="92">
        <f t="shared" si="1"/>
        <v>0.18512278497715551</v>
      </c>
    </row>
    <row r="12" spans="2:12" x14ac:dyDescent="0.35">
      <c r="B12">
        <f t="shared" si="0"/>
        <v>9</v>
      </c>
      <c r="C12" s="112">
        <v>45382</v>
      </c>
      <c r="D12" s="108">
        <v>35494.730000000003</v>
      </c>
      <c r="E12" s="92">
        <f t="shared" si="1"/>
        <v>2.9173126532572313E-2</v>
      </c>
    </row>
    <row r="13" spans="2:12" x14ac:dyDescent="0.35">
      <c r="B13">
        <f t="shared" si="0"/>
        <v>10</v>
      </c>
      <c r="C13" s="112">
        <v>45747</v>
      </c>
      <c r="D13" s="108">
        <v>33905.620000000003</v>
      </c>
      <c r="E13" s="92">
        <f t="shared" si="1"/>
        <v>-4.4770308155605121E-2</v>
      </c>
    </row>
    <row r="14" spans="2:12" x14ac:dyDescent="0.35">
      <c r="B14">
        <f t="shared" si="0"/>
        <v>11</v>
      </c>
      <c r="C14" s="113">
        <f>C13+365</f>
        <v>46112</v>
      </c>
      <c r="D14" s="108">
        <f>FORECAST(B14,$D$4:$D$13,$B$4:$B$13)</f>
        <v>38669.293333333335</v>
      </c>
      <c r="E14" s="92">
        <f t="shared" si="1"/>
        <v>0.14049804526014653</v>
      </c>
    </row>
    <row r="15" spans="2:12" x14ac:dyDescent="0.35">
      <c r="B15">
        <f t="shared" si="0"/>
        <v>12</v>
      </c>
      <c r="C15" s="113">
        <f t="shared" ref="C15:C18" si="2">C14+365</f>
        <v>46477</v>
      </c>
      <c r="D15" s="108">
        <f t="shared" ref="D15:D18" si="3">FORECAST(B15,$D$4:$D$13,$B$4:$B$13)</f>
        <v>41330.757212121214</v>
      </c>
      <c r="E15" s="92">
        <f t="shared" si="1"/>
        <v>6.8826286941573667E-2</v>
      </c>
      <c r="G15" s="116"/>
      <c r="H15" s="116"/>
      <c r="I15" s="116"/>
      <c r="J15" s="116"/>
      <c r="K15" s="116"/>
      <c r="L15" s="116"/>
    </row>
    <row r="16" spans="2:12" x14ac:dyDescent="0.35">
      <c r="B16">
        <f t="shared" si="0"/>
        <v>13</v>
      </c>
      <c r="C16" s="113">
        <f t="shared" si="2"/>
        <v>46842</v>
      </c>
      <c r="D16" s="108">
        <f t="shared" si="3"/>
        <v>43992.221090909094</v>
      </c>
      <c r="E16" s="92">
        <f t="shared" si="1"/>
        <v>6.4394268537798283E-2</v>
      </c>
    </row>
    <row r="17" spans="2:15" x14ac:dyDescent="0.35">
      <c r="B17">
        <f t="shared" si="0"/>
        <v>14</v>
      </c>
      <c r="C17" s="113">
        <f t="shared" si="2"/>
        <v>47207</v>
      </c>
      <c r="D17" s="108">
        <f t="shared" si="3"/>
        <v>46653.684969696973</v>
      </c>
      <c r="E17" s="92">
        <f t="shared" si="1"/>
        <v>6.0498511163780799E-2</v>
      </c>
    </row>
    <row r="18" spans="2:15" x14ac:dyDescent="0.35">
      <c r="B18">
        <f t="shared" si="0"/>
        <v>15</v>
      </c>
      <c r="C18" s="113">
        <f t="shared" si="2"/>
        <v>47572</v>
      </c>
      <c r="D18" s="108">
        <f t="shared" si="3"/>
        <v>49315.148848484852</v>
      </c>
      <c r="E18" s="92">
        <f t="shared" si="1"/>
        <v>5.7047238187435401E-2</v>
      </c>
    </row>
    <row r="20" spans="2:15" x14ac:dyDescent="0.35">
      <c r="D20" s="108"/>
      <c r="G20" s="116"/>
      <c r="H20" s="116"/>
      <c r="I20" s="116"/>
      <c r="J20" s="116"/>
      <c r="K20" s="116"/>
      <c r="L20" s="116"/>
      <c r="M20" s="116"/>
      <c r="N20" s="116"/>
      <c r="O20" s="116"/>
    </row>
    <row r="21" spans="2:15" x14ac:dyDescent="0.35">
      <c r="D21" s="108"/>
    </row>
    <row r="22" spans="2:15" x14ac:dyDescent="0.35">
      <c r="D22" s="108"/>
    </row>
    <row r="23" spans="2:15" x14ac:dyDescent="0.35">
      <c r="D23" s="108"/>
    </row>
    <row r="24" spans="2:15" x14ac:dyDescent="0.35">
      <c r="D24" s="108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3431-2691-43B3-AEC4-35E86A63A324}">
  <sheetPr>
    <tabColor rgb="FFFF0000"/>
  </sheetPr>
  <dimension ref="A1"/>
  <sheetViews>
    <sheetView workbookViewId="0">
      <selection activeCell="H15" sqref="H15"/>
    </sheetView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79" zoomScaleNormal="120" zoomScaleSheetLayoutView="100" zoomScalePageLayoutView="12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6" sqref="C6:C7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ASIAN PAINTS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14271.49</v>
      </c>
      <c r="C4" s="1">
        <f>'Data Sheet'!C17</f>
        <v>15061.99</v>
      </c>
      <c r="D4" s="1">
        <f>'Data Sheet'!D17</f>
        <v>16824.55</v>
      </c>
      <c r="E4" s="1">
        <f>'Data Sheet'!E17</f>
        <v>19240.13</v>
      </c>
      <c r="F4" s="1">
        <f>'Data Sheet'!F17</f>
        <v>20211.25</v>
      </c>
      <c r="G4" s="1">
        <f>'Data Sheet'!G17</f>
        <v>21712.79</v>
      </c>
      <c r="H4" s="1">
        <f>'Data Sheet'!H17</f>
        <v>29101.279999999999</v>
      </c>
      <c r="I4" s="1">
        <f>'Data Sheet'!I17</f>
        <v>34488.589999999997</v>
      </c>
      <c r="J4" s="1">
        <f>'Data Sheet'!J17</f>
        <v>35494.730000000003</v>
      </c>
      <c r="K4" s="1">
        <f>'Data Sheet'!K17</f>
        <v>33905.620000000003</v>
      </c>
      <c r="L4" s="1">
        <f>SUM(Quarters!H4:K4)</f>
        <v>33874.44</v>
      </c>
      <c r="M4" s="1">
        <f>$K4+M23*K4</f>
        <v>35677.265195093263</v>
      </c>
      <c r="N4" s="1">
        <f>$K4+N23*L4</f>
        <v>33874.468673488351</v>
      </c>
    </row>
    <row r="5" spans="1:14" x14ac:dyDescent="0.35">
      <c r="A5" t="s">
        <v>7</v>
      </c>
      <c r="B5" s="6">
        <f>SUM('Data Sheet'!B18,'Data Sheet'!B20:B24, -1*'Data Sheet'!B19)</f>
        <v>11546.449999999997</v>
      </c>
      <c r="C5" s="6">
        <f>SUM('Data Sheet'!C18,'Data Sheet'!C20:C24, -1*'Data Sheet'!C19)</f>
        <v>12068.23</v>
      </c>
      <c r="D5" s="6">
        <f>SUM('Data Sheet'!D18,'Data Sheet'!D20:D24, -1*'Data Sheet'!D19)</f>
        <v>13620.539999999999</v>
      </c>
      <c r="E5" s="6">
        <f>SUM('Data Sheet'!E18,'Data Sheet'!E20:E24, -1*'Data Sheet'!E19)</f>
        <v>15475.189999999999</v>
      </c>
      <c r="F5" s="6">
        <f>SUM('Data Sheet'!F18,'Data Sheet'!F20:F24, -1*'Data Sheet'!F19)</f>
        <v>16054.430000000002</v>
      </c>
      <c r="G5" s="6">
        <f>SUM('Data Sheet'!G18,'Data Sheet'!G20:G24, -1*'Data Sheet'!G19)</f>
        <v>16857.189999999999</v>
      </c>
      <c r="H5" s="6">
        <f>SUM('Data Sheet'!H18,'Data Sheet'!H20:H24, -1*'Data Sheet'!H19)</f>
        <v>24297.67</v>
      </c>
      <c r="I5" s="6">
        <f>SUM('Data Sheet'!I18,'Data Sheet'!I20:I24, -1*'Data Sheet'!I19)</f>
        <v>28228.75</v>
      </c>
      <c r="J5" s="6">
        <f>SUM('Data Sheet'!J18,'Data Sheet'!J20:J24, -1*'Data Sheet'!J19)</f>
        <v>27909.750000000004</v>
      </c>
      <c r="K5" s="6">
        <f>SUM('Data Sheet'!K18,'Data Sheet'!K20:K24, -1*'Data Sheet'!K19)</f>
        <v>27899.41</v>
      </c>
      <c r="L5" s="6">
        <f>SUM(Quarters!H5:K5)</f>
        <v>27937.03</v>
      </c>
      <c r="M5" s="6">
        <f t="shared" ref="M5:N5" si="0">M4-M6</f>
        <v>28860.076939002171</v>
      </c>
      <c r="N5" s="6">
        <f t="shared" si="0"/>
        <v>27937.05364768552</v>
      </c>
    </row>
    <row r="6" spans="1:14" s="2" customFormat="1" x14ac:dyDescent="0.35">
      <c r="A6" s="2" t="s">
        <v>8</v>
      </c>
      <c r="B6" s="1">
        <f>B4-B5</f>
        <v>2725.0400000000027</v>
      </c>
      <c r="C6" s="1">
        <f t="shared" ref="C6:K6" si="1">C4-C5</f>
        <v>2993.76</v>
      </c>
      <c r="D6" s="1">
        <f t="shared" si="1"/>
        <v>3204.01</v>
      </c>
      <c r="E6" s="1">
        <f t="shared" si="1"/>
        <v>3764.9400000000023</v>
      </c>
      <c r="F6" s="1">
        <f t="shared" si="1"/>
        <v>4156.8199999999979</v>
      </c>
      <c r="G6" s="1">
        <f t="shared" si="1"/>
        <v>4855.6000000000022</v>
      </c>
      <c r="H6" s="1">
        <f t="shared" si="1"/>
        <v>4803.6100000000006</v>
      </c>
      <c r="I6" s="1">
        <f t="shared" si="1"/>
        <v>6259.8399999999965</v>
      </c>
      <c r="J6" s="1">
        <f t="shared" si="1"/>
        <v>7584.98</v>
      </c>
      <c r="K6" s="1">
        <f t="shared" si="1"/>
        <v>6006.2100000000028</v>
      </c>
      <c r="L6" s="1">
        <f>SUM(Quarters!H6:K6)</f>
        <v>5937.41</v>
      </c>
      <c r="M6" s="1">
        <f>M4*M24</f>
        <v>6817.1882560910926</v>
      </c>
      <c r="N6" s="1">
        <f>N4*N24</f>
        <v>5937.4150258028312</v>
      </c>
    </row>
    <row r="7" spans="1:14" x14ac:dyDescent="0.35">
      <c r="A7" t="s">
        <v>9</v>
      </c>
      <c r="B7" s="6">
        <f>'Data Sheet'!B25</f>
        <v>213.39</v>
      </c>
      <c r="C7" s="6">
        <f>'Data Sheet'!C25</f>
        <v>337.9</v>
      </c>
      <c r="D7" s="6">
        <f>'Data Sheet'!D25</f>
        <v>336.41</v>
      </c>
      <c r="E7" s="6">
        <f>'Data Sheet'!E25</f>
        <v>273.77</v>
      </c>
      <c r="F7" s="6">
        <f>'Data Sheet'!F25</f>
        <v>355.05</v>
      </c>
      <c r="G7" s="6">
        <f>'Data Sheet'!G25</f>
        <v>331.65</v>
      </c>
      <c r="H7" s="6">
        <f>'Data Sheet'!H25</f>
        <v>295.88</v>
      </c>
      <c r="I7" s="6">
        <f>'Data Sheet'!I25</f>
        <v>431.46</v>
      </c>
      <c r="J7" s="6">
        <f>'Data Sheet'!J25</f>
        <v>820.96</v>
      </c>
      <c r="K7" s="6">
        <f>'Data Sheet'!K25</f>
        <v>350.22</v>
      </c>
      <c r="L7" s="6">
        <f>SUM(Quarters!H7:K7)</f>
        <v>386.4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275.58</v>
      </c>
      <c r="C8" s="6">
        <f>'Data Sheet'!C26</f>
        <v>334.79</v>
      </c>
      <c r="D8" s="6">
        <f>'Data Sheet'!D26</f>
        <v>360.47</v>
      </c>
      <c r="E8" s="6">
        <f>'Data Sheet'!E26</f>
        <v>622.14</v>
      </c>
      <c r="F8" s="6">
        <f>'Data Sheet'!F26</f>
        <v>780.5</v>
      </c>
      <c r="G8" s="6">
        <f>'Data Sheet'!G26</f>
        <v>791.27</v>
      </c>
      <c r="H8" s="6">
        <f>'Data Sheet'!H26</f>
        <v>816.36</v>
      </c>
      <c r="I8" s="6">
        <f>'Data Sheet'!I26</f>
        <v>858.02</v>
      </c>
      <c r="J8" s="6">
        <f>'Data Sheet'!J26</f>
        <v>853</v>
      </c>
      <c r="K8" s="6">
        <f>'Data Sheet'!K26</f>
        <v>1026.3399999999999</v>
      </c>
      <c r="L8" s="6">
        <f>SUM(Quarters!H8:K8)</f>
        <v>1099.5100000000002</v>
      </c>
      <c r="M8" s="6">
        <f>+$L8</f>
        <v>1099.5100000000002</v>
      </c>
      <c r="N8" s="6">
        <f>+$L8</f>
        <v>1099.5100000000002</v>
      </c>
    </row>
    <row r="9" spans="1:14" x14ac:dyDescent="0.35">
      <c r="A9" t="s">
        <v>11</v>
      </c>
      <c r="B9" s="6">
        <f>'Data Sheet'!B27</f>
        <v>49</v>
      </c>
      <c r="C9" s="6">
        <f>'Data Sheet'!C27</f>
        <v>37.33</v>
      </c>
      <c r="D9" s="6">
        <f>'Data Sheet'!D27</f>
        <v>41.47</v>
      </c>
      <c r="E9" s="6">
        <f>'Data Sheet'!E27</f>
        <v>110.47</v>
      </c>
      <c r="F9" s="6">
        <f>'Data Sheet'!F27</f>
        <v>102.33</v>
      </c>
      <c r="G9" s="6">
        <f>'Data Sheet'!G27</f>
        <v>91.63</v>
      </c>
      <c r="H9" s="6">
        <f>'Data Sheet'!H27</f>
        <v>95.41</v>
      </c>
      <c r="I9" s="6">
        <f>'Data Sheet'!I27</f>
        <v>144.44999999999999</v>
      </c>
      <c r="J9" s="6">
        <f>'Data Sheet'!J27</f>
        <v>205.17</v>
      </c>
      <c r="K9" s="6">
        <f>'Data Sheet'!K27</f>
        <v>227.02</v>
      </c>
      <c r="L9" s="6">
        <f>SUM(Quarters!H9:K9)</f>
        <v>216.14</v>
      </c>
      <c r="M9" s="6">
        <f>+$L9</f>
        <v>216.14</v>
      </c>
      <c r="N9" s="6">
        <f>+$L9</f>
        <v>216.14</v>
      </c>
    </row>
    <row r="10" spans="1:14" x14ac:dyDescent="0.35">
      <c r="A10" t="s">
        <v>12</v>
      </c>
      <c r="B10" s="6">
        <f>'Data Sheet'!B28</f>
        <v>2613.85</v>
      </c>
      <c r="C10" s="6">
        <f>'Data Sheet'!C28</f>
        <v>2959.54</v>
      </c>
      <c r="D10" s="6">
        <f>'Data Sheet'!D28</f>
        <v>3138.48</v>
      </c>
      <c r="E10" s="6">
        <f>'Data Sheet'!E28</f>
        <v>3306.1</v>
      </c>
      <c r="F10" s="6">
        <f>'Data Sheet'!F28</f>
        <v>3629.04</v>
      </c>
      <c r="G10" s="6">
        <f>'Data Sheet'!G28</f>
        <v>4304.3500000000004</v>
      </c>
      <c r="H10" s="6">
        <f>'Data Sheet'!H28</f>
        <v>4187.72</v>
      </c>
      <c r="I10" s="6">
        <f>'Data Sheet'!I28</f>
        <v>5688.83</v>
      </c>
      <c r="J10" s="6">
        <f>'Data Sheet'!J28</f>
        <v>7347.77</v>
      </c>
      <c r="K10" s="6">
        <f>'Data Sheet'!K28</f>
        <v>5103.07</v>
      </c>
      <c r="L10" s="6">
        <f>SUM(Quarters!H10:K10)</f>
        <v>5008.16</v>
      </c>
      <c r="M10" s="6">
        <f>M6+M7-SUM(M8:M9)</f>
        <v>5501.538256091093</v>
      </c>
      <c r="N10" s="6">
        <f>N6+N7-SUM(N8:N9)</f>
        <v>4621.7650258028316</v>
      </c>
    </row>
    <row r="11" spans="1:14" x14ac:dyDescent="0.35">
      <c r="A11" t="s">
        <v>13</v>
      </c>
      <c r="B11" s="6">
        <f>'Data Sheet'!B29</f>
        <v>844.49</v>
      </c>
      <c r="C11" s="6">
        <f>'Data Sheet'!C29</f>
        <v>943.29</v>
      </c>
      <c r="D11" s="6">
        <f>'Data Sheet'!D29</f>
        <v>1040.96</v>
      </c>
      <c r="E11" s="6">
        <f>'Data Sheet'!E29</f>
        <v>1098.06</v>
      </c>
      <c r="F11" s="6">
        <f>'Data Sheet'!F29</f>
        <v>854.85</v>
      </c>
      <c r="G11" s="6">
        <f>'Data Sheet'!G29</f>
        <v>1097.5999999999999</v>
      </c>
      <c r="H11" s="6">
        <f>'Data Sheet'!H29</f>
        <v>1102.9100000000001</v>
      </c>
      <c r="I11" s="6">
        <f>'Data Sheet'!I29</f>
        <v>1493.5</v>
      </c>
      <c r="J11" s="6">
        <f>'Data Sheet'!J29</f>
        <v>1790.08</v>
      </c>
      <c r="K11" s="6">
        <f>'Data Sheet'!K29</f>
        <v>1393.36</v>
      </c>
      <c r="L11" s="6">
        <f>SUM(Quarters!H11:K11)</f>
        <v>1368.19</v>
      </c>
      <c r="M11" s="7">
        <f>IF($L10&gt;0,$L11/$L10,0)</f>
        <v>0.27319215041053002</v>
      </c>
      <c r="N11" s="7">
        <f>IF($L10&gt;0,$L11/$L10,0)</f>
        <v>0.27319215041053002</v>
      </c>
    </row>
    <row r="12" spans="1:14" s="2" customFormat="1" x14ac:dyDescent="0.35">
      <c r="A12" s="2" t="s">
        <v>14</v>
      </c>
      <c r="B12" s="1">
        <f>'Data Sheet'!B30</f>
        <v>1745.16</v>
      </c>
      <c r="C12" s="1">
        <f>'Data Sheet'!C30</f>
        <v>1939.43</v>
      </c>
      <c r="D12" s="1">
        <f>'Data Sheet'!D30</f>
        <v>2038.93</v>
      </c>
      <c r="E12" s="1">
        <f>'Data Sheet'!E30</f>
        <v>2155.92</v>
      </c>
      <c r="F12" s="1">
        <f>'Data Sheet'!F30</f>
        <v>2705.17</v>
      </c>
      <c r="G12" s="1">
        <f>'Data Sheet'!G30</f>
        <v>3139.29</v>
      </c>
      <c r="H12" s="1">
        <f>'Data Sheet'!H30</f>
        <v>3030.57</v>
      </c>
      <c r="I12" s="1">
        <f>'Data Sheet'!I30</f>
        <v>4106.45</v>
      </c>
      <c r="J12" s="1">
        <f>'Data Sheet'!J30</f>
        <v>5460.23</v>
      </c>
      <c r="K12" s="1">
        <f>'Data Sheet'!K30</f>
        <v>3667.23</v>
      </c>
      <c r="L12" s="1">
        <f>SUM(Quarters!H12:K12)</f>
        <v>3597.02</v>
      </c>
      <c r="M12" s="1">
        <f>M10-M11*M10</f>
        <v>3998.5611893437699</v>
      </c>
      <c r="N12" s="1">
        <f>N10-N11*N10</f>
        <v>3359.1350997115774</v>
      </c>
    </row>
    <row r="13" spans="1:14" x14ac:dyDescent="0.35">
      <c r="A13" t="s">
        <v>48</v>
      </c>
      <c r="B13" s="6">
        <f>IF('Data Sheet'!B93&gt;0,B12/'Data Sheet'!B93,0)</f>
        <v>18.193911592994162</v>
      </c>
      <c r="C13" s="6">
        <f>IF('Data Sheet'!C93&gt;0,C12/'Data Sheet'!C93,0)</f>
        <v>20.219245204336946</v>
      </c>
      <c r="D13" s="6">
        <f>IF('Data Sheet'!D93&gt;0,D12/'Data Sheet'!D93,0)</f>
        <v>21.256567973311093</v>
      </c>
      <c r="E13" s="6">
        <f>IF('Data Sheet'!E93&gt;0,E12/'Data Sheet'!E93,0)</f>
        <v>22.476230191826524</v>
      </c>
      <c r="F13" s="6">
        <f>IF('Data Sheet'!F93&gt;0,F12/'Data Sheet'!F93,0)</f>
        <v>28.202356130108424</v>
      </c>
      <c r="G13" s="6">
        <f>IF('Data Sheet'!G93&gt;0,G12/'Data Sheet'!G93,0)</f>
        <v>32.728211009174309</v>
      </c>
      <c r="H13" s="6">
        <f>IF('Data Sheet'!H93&gt;0,H12/'Data Sheet'!H93,0)</f>
        <v>31.594766472060051</v>
      </c>
      <c r="I13" s="6">
        <f>IF('Data Sheet'!I93&gt;0,I12/'Data Sheet'!I93,0)</f>
        <v>42.811196830692239</v>
      </c>
      <c r="J13" s="6">
        <f>IF('Data Sheet'!J93&gt;0,J12/'Data Sheet'!J93,0)</f>
        <v>56.924833194328599</v>
      </c>
      <c r="K13" s="6">
        <f>IF('Data Sheet'!K93&gt;0,K12/'Data Sheet'!K93,0)</f>
        <v>38.232172643869895</v>
      </c>
      <c r="L13" s="6">
        <f>IF('Data Sheet'!$B6&gt;0,'Profit &amp; Loss'!L12/'Data Sheet'!$B6,0)</f>
        <v>37.500294159178416</v>
      </c>
      <c r="M13" s="6">
        <f>IF('Data Sheet'!$B6&gt;0,'Profit &amp; Loss'!M12/'Data Sheet'!$B6,0)</f>
        <v>41.686512950682975</v>
      </c>
      <c r="N13" s="6">
        <f>IF('Data Sheet'!$B6&gt;0,'Profit &amp; Loss'!N12/'Data Sheet'!$B6,0)</f>
        <v>35.020254087996527</v>
      </c>
    </row>
    <row r="14" spans="1:14" x14ac:dyDescent="0.35">
      <c r="A14" t="s">
        <v>16</v>
      </c>
      <c r="B14" s="6">
        <f>IF(B15&gt;0,B15/B13,"")</f>
        <v>47.730252813495611</v>
      </c>
      <c r="C14" s="6">
        <f t="shared" ref="C14:K14" si="2">IF(C15&gt;0,C15/C13,"")</f>
        <v>53.092980927385881</v>
      </c>
      <c r="D14" s="6">
        <f t="shared" si="2"/>
        <v>52.708414707714347</v>
      </c>
      <c r="E14" s="6">
        <f t="shared" si="2"/>
        <v>66.41238264870681</v>
      </c>
      <c r="F14" s="6">
        <f t="shared" si="2"/>
        <v>59.090807601740373</v>
      </c>
      <c r="G14" s="6">
        <f t="shared" si="2"/>
        <v>77.529443918847903</v>
      </c>
      <c r="H14" s="6">
        <f t="shared" si="2"/>
        <v>97.482917075005687</v>
      </c>
      <c r="I14" s="6">
        <f t="shared" si="2"/>
        <v>64.507656978655532</v>
      </c>
      <c r="J14" s="6">
        <f t="shared" si="2"/>
        <v>50.00893002675712</v>
      </c>
      <c r="K14" s="6">
        <f t="shared" si="2"/>
        <v>61.221998074841224</v>
      </c>
      <c r="L14" s="6">
        <f t="shared" ref="L14" si="3">IF(L13&gt;0,L15/L13,0)</f>
        <v>67.431471051036695</v>
      </c>
      <c r="M14" s="6">
        <f>M25</f>
        <v>67.431471051036695</v>
      </c>
      <c r="N14" s="6">
        <f>N25</f>
        <v>60.792514032822638</v>
      </c>
    </row>
    <row r="15" spans="1:14" s="2" customFormat="1" x14ac:dyDescent="0.35">
      <c r="A15" s="2" t="s">
        <v>49</v>
      </c>
      <c r="B15" s="1">
        <f>'Data Sheet'!B90</f>
        <v>868.4</v>
      </c>
      <c r="C15" s="1">
        <f>'Data Sheet'!C90</f>
        <v>1073.5</v>
      </c>
      <c r="D15" s="1">
        <f>'Data Sheet'!D90</f>
        <v>1120.4000000000001</v>
      </c>
      <c r="E15" s="1">
        <f>'Data Sheet'!E90</f>
        <v>1492.7</v>
      </c>
      <c r="F15" s="1">
        <f>'Data Sheet'!F90</f>
        <v>1666.5</v>
      </c>
      <c r="G15" s="1">
        <f>'Data Sheet'!G90</f>
        <v>2537.4</v>
      </c>
      <c r="H15" s="1">
        <f>'Data Sheet'!H90</f>
        <v>3079.95</v>
      </c>
      <c r="I15" s="1">
        <f>'Data Sheet'!I90</f>
        <v>2761.65</v>
      </c>
      <c r="J15" s="1">
        <f>'Data Sheet'!J90</f>
        <v>2846.75</v>
      </c>
      <c r="K15" s="1">
        <f>'Data Sheet'!K90</f>
        <v>2340.65</v>
      </c>
      <c r="L15" s="1">
        <f>'Data Sheet'!B8</f>
        <v>2528.6999999999998</v>
      </c>
      <c r="M15" s="8">
        <f>M13*M14</f>
        <v>2810.9828912526455</v>
      </c>
      <c r="N15" s="9">
        <f>N13*N14</f>
        <v>2128.9692880775433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0.41222581310596162</v>
      </c>
      <c r="C18" s="5">
        <f>IF('Data Sheet'!C30&gt;0, 'Data Sheet'!C31/'Data Sheet'!C30, 0)</f>
        <v>0.50941771551435211</v>
      </c>
      <c r="D18" s="5">
        <f>IF('Data Sheet'!D30&gt;0, 'Data Sheet'!D31/'Data Sheet'!D30, 0)</f>
        <v>0.40928330055470269</v>
      </c>
      <c r="E18" s="5">
        <f>IF('Data Sheet'!E30&gt;0, 'Data Sheet'!E31/'Data Sheet'!E30, 0)</f>
        <v>0.46716019147278187</v>
      </c>
      <c r="F18" s="5">
        <f>IF('Data Sheet'!F30&gt;0, 'Data Sheet'!F31/'Data Sheet'!F30, 0)</f>
        <v>0.42549636436896754</v>
      </c>
      <c r="G18" s="5">
        <f>IF('Data Sheet'!G30&gt;0, 'Data Sheet'!G31/'Data Sheet'!G30, 0)</f>
        <v>0.54540039308251231</v>
      </c>
      <c r="H18" s="5">
        <f>IF('Data Sheet'!H30&gt;0, 'Data Sheet'!H31/'Data Sheet'!H30, 0)</f>
        <v>0.6061137013829081</v>
      </c>
      <c r="I18" s="5">
        <f>IF('Data Sheet'!I30&gt;0, 'Data Sheet'!I31/'Data Sheet'!I30, 0)</f>
        <v>0.59914281191783658</v>
      </c>
      <c r="J18" s="5">
        <f>IF('Data Sheet'!J30&gt;0, 'Data Sheet'!J31/'Data Sheet'!J30, 0)</f>
        <v>0.58498268387961683</v>
      </c>
      <c r="K18" s="5">
        <f>IF('Data Sheet'!K30&gt;0, 'Data Sheet'!K31/'Data Sheet'!K30, 0)</f>
        <v>0.64866943169640301</v>
      </c>
    </row>
    <row r="19" spans="1:14" x14ac:dyDescent="0.35">
      <c r="A19" t="s">
        <v>18</v>
      </c>
      <c r="B19" s="5">
        <f t="shared" ref="B19:L19" si="4">IF(B6&gt;0,B6/B4,0)</f>
        <v>0.19094292186730347</v>
      </c>
      <c r="C19" s="5">
        <f t="shared" ref="C19:K19" si="5">IF(C6&gt;0,C6/C4,0)</f>
        <v>0.19876258050895004</v>
      </c>
      <c r="D19" s="5">
        <f t="shared" si="5"/>
        <v>0.19043659414367697</v>
      </c>
      <c r="E19" s="5">
        <f t="shared" si="5"/>
        <v>0.19568163000977656</v>
      </c>
      <c r="F19" s="5">
        <f t="shared" si="5"/>
        <v>0.20566862514688591</v>
      </c>
      <c r="G19" s="5">
        <f t="shared" si="5"/>
        <v>0.22362856178317028</v>
      </c>
      <c r="H19" s="5">
        <f t="shared" si="5"/>
        <v>0.16506524798909192</v>
      </c>
      <c r="I19" s="5">
        <f t="shared" si="5"/>
        <v>0.18150466574597562</v>
      </c>
      <c r="J19" s="5">
        <f t="shared" si="5"/>
        <v>0.21369313134654072</v>
      </c>
      <c r="K19" s="5">
        <f t="shared" si="5"/>
        <v>0.17714496888716391</v>
      </c>
      <c r="L19" s="5">
        <f t="shared" si="4"/>
        <v>0.17527699350897016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0.10092014636257685</v>
      </c>
      <c r="I23" s="5">
        <f>IF(D4=0,"",POWER($K4/D4,1/7)-1)</f>
        <v>0.10528801762676121</v>
      </c>
      <c r="J23" s="5">
        <f>IF(F4=0,"",POWER($K4/F4,1/5)-1)</f>
        <v>0.10901061549728808</v>
      </c>
      <c r="K23" s="5">
        <f>IF(H4=0,"",POWER($K4/H4, 1/3)-1)</f>
        <v>5.225225774055331E-2</v>
      </c>
      <c r="L23" s="5">
        <f>IF(ISERROR(MAX(IF(J4=0,"",(K4-J4)/J4),IF(K4=0,"",(L4-K4)/K4))),"",MAX(IF(J4=0,"",(K4-J4)/J4),IF(K4=0,"",(L4-K4)/K4)))</f>
        <v>-9.1961155702211873E-4</v>
      </c>
      <c r="M23" s="16">
        <f>MAX(K23:L23)</f>
        <v>5.225225774055331E-2</v>
      </c>
      <c r="N23" s="16">
        <f>MIN(H23:L23)</f>
        <v>-9.1961155702211873E-4</v>
      </c>
    </row>
    <row r="24" spans="1:14" x14ac:dyDescent="0.35">
      <c r="G24" t="s">
        <v>18</v>
      </c>
      <c r="H24" s="5">
        <f>IF(SUM(B4:$K$4)=0,"",SUMPRODUCT(B19:$K$19,B4:$K$4)/SUM(B4:$K$4))</f>
        <v>0.19289394197769724</v>
      </c>
      <c r="I24" s="5">
        <f>IF(SUM(E4:$K$4)=0,"",SUMPRODUCT(E19:$K$19,E4:$K$4)/SUM(E4:$K$4))</f>
        <v>0.19279502255910874</v>
      </c>
      <c r="J24" s="5">
        <f>IF(SUM(G4:$K$4)=0,"",SUMPRODUCT(G19:$K$19,G4:$K$4)/SUM(G4:$K$4))</f>
        <v>0.19075414240485689</v>
      </c>
      <c r="K24" s="5">
        <f>IF(SUM(I4:$K$4)=0, "", SUMPRODUCT(I19:$K$19,I4:$K$4)/SUM(I4:$K$4))</f>
        <v>0.1910793391481326</v>
      </c>
      <c r="L24" s="5">
        <f>L19</f>
        <v>0.17527699350897016</v>
      </c>
      <c r="M24" s="16">
        <f>MAX(K24:L24)</f>
        <v>0.1910793391481326</v>
      </c>
      <c r="N24" s="16">
        <f>MIN(H24:L24)</f>
        <v>0.17527699350897016</v>
      </c>
    </row>
    <row r="25" spans="1:14" x14ac:dyDescent="0.35">
      <c r="G25" t="s">
        <v>23</v>
      </c>
      <c r="H25" s="6">
        <f>IF(ISERROR(AVERAGEIF(B14:$L14,"&gt;0")),"",AVERAGEIF(B14:$L14,"&gt;0"))</f>
        <v>63.383386893107925</v>
      </c>
      <c r="I25" s="6">
        <f>IF(ISERROR(AVERAGEIF(E14:$L14,"&gt;0")),"",AVERAGEIF(E14:$L14,"&gt;0"))</f>
        <v>67.960700921948913</v>
      </c>
      <c r="J25" s="6">
        <f>IF(ISERROR(AVERAGEIF(G14:$L14,"&gt;0")),"",AVERAGEIF(G14:$L14,"&gt;0"))</f>
        <v>69.697069520857355</v>
      </c>
      <c r="K25" s="6">
        <f>IF(ISERROR(AVERAGEIF(I14:$L14,"&gt;0")),"",AVERAGEIF(I14:$L14,"&gt;0"))</f>
        <v>60.792514032822638</v>
      </c>
      <c r="L25" s="6">
        <f>L14</f>
        <v>67.431471051036695</v>
      </c>
      <c r="M25" s="1">
        <f>MAX(K25:L25)</f>
        <v>67.431471051036695</v>
      </c>
      <c r="N25" s="1">
        <f>MIN(H25:L25)</f>
        <v>60.792514032822638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3"/>
  <sheetViews>
    <sheetView zoomScale="84" zoomScaleNormal="120" zoomScalePageLayoutView="120" workbookViewId="0">
      <pane xSplit="1" ySplit="1" topLeftCell="B50" activePane="bottomRight" state="frozen"/>
      <selection activeCell="C4" sqref="C4"/>
      <selection pane="topRight" activeCell="C4" sqref="C4"/>
      <selection pane="bottomLeft" activeCell="C4" sqref="C4"/>
      <selection pane="bottomRight" activeCell="K69" sqref="K69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2" width="8.81640625" style="4"/>
    <col min="13" max="13" width="10.453125" style="4" bestFit="1" customWidth="1"/>
    <col min="14" max="16384" width="8.81640625" style="4"/>
  </cols>
  <sheetData>
    <row r="1" spans="1:11" s="1" customFormat="1" x14ac:dyDescent="0.35">
      <c r="A1" s="1" t="s">
        <v>0</v>
      </c>
      <c r="B1" s="1" t="s">
        <v>54</v>
      </c>
      <c r="E1" s="270" t="str">
        <f>IF(B2&lt;&gt;B3, "A NEW VERSION OF THE WORKSHEET IS AVAILABLE", "")</f>
        <v/>
      </c>
      <c r="F1" s="270"/>
      <c r="G1" s="270"/>
      <c r="H1" s="270"/>
      <c r="I1" s="270"/>
      <c r="J1" s="270"/>
      <c r="K1" s="270"/>
    </row>
    <row r="2" spans="1:11" x14ac:dyDescent="0.35">
      <c r="A2" s="1" t="s">
        <v>52</v>
      </c>
      <c r="B2" s="4">
        <v>2.1</v>
      </c>
      <c r="E2" s="271" t="s">
        <v>36</v>
      </c>
      <c r="F2" s="271"/>
      <c r="G2" s="271"/>
      <c r="H2" s="271"/>
      <c r="I2" s="271"/>
      <c r="J2" s="271"/>
      <c r="K2" s="271"/>
    </row>
    <row r="3" spans="1:11" x14ac:dyDescent="0.35">
      <c r="A3" s="1" t="s">
        <v>53</v>
      </c>
      <c r="B3" s="4">
        <v>2.1</v>
      </c>
    </row>
    <row r="4" spans="1:11" x14ac:dyDescent="0.35">
      <c r="A4" s="1"/>
    </row>
    <row r="5" spans="1:11" x14ac:dyDescent="0.35">
      <c r="A5" s="1" t="s">
        <v>55</v>
      </c>
    </row>
    <row r="6" spans="1:11" x14ac:dyDescent="0.35">
      <c r="A6" s="4" t="s">
        <v>42</v>
      </c>
      <c r="B6" s="4">
        <f>IF(B9&gt;0, B9/B8, 0)</f>
        <v>95.919780915094719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2528.6999999999998</v>
      </c>
    </row>
    <row r="9" spans="1:11" x14ac:dyDescent="0.35">
      <c r="A9" s="4" t="s">
        <v>70</v>
      </c>
      <c r="B9">
        <v>242552.35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3" s="6" customFormat="1" x14ac:dyDescent="0.35">
      <c r="A17" s="6" t="s">
        <v>6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3" s="6" customFormat="1" x14ac:dyDescent="0.35">
      <c r="A18" s="4" t="s">
        <v>71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  <c r="M18" s="6">
        <f>SUM(B18:B24)</f>
        <v>11147.789999999999</v>
      </c>
    </row>
    <row r="19" spans="1:13" s="6" customFormat="1" x14ac:dyDescent="0.35">
      <c r="A19" s="4" t="s">
        <v>72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  <c r="M19" s="6">
        <f>SUM(B22:B24)</f>
        <v>3127.5900000000006</v>
      </c>
    </row>
    <row r="20" spans="1:13" s="6" customFormat="1" x14ac:dyDescent="0.35">
      <c r="A20" s="4" t="s">
        <v>73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  <c r="M20" s="6">
        <f>M18-M19</f>
        <v>8020.1999999999989</v>
      </c>
    </row>
    <row r="21" spans="1:13" s="6" customFormat="1" x14ac:dyDescent="0.35">
      <c r="A21" s="4" t="s">
        <v>74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3" s="6" customFormat="1" x14ac:dyDescent="0.35">
      <c r="A22" s="4" t="s">
        <v>75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3" s="6" customFormat="1" x14ac:dyDescent="0.35">
      <c r="A23" s="4" t="s">
        <v>76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3" s="6" customFormat="1" x14ac:dyDescent="0.35">
      <c r="A24" s="4" t="s">
        <v>77</v>
      </c>
      <c r="B24">
        <v>-1779.69</v>
      </c>
      <c r="C24">
        <v>-2028.47</v>
      </c>
      <c r="D24">
        <v>171.45</v>
      </c>
      <c r="E24">
        <v>202.51</v>
      </c>
      <c r="F24">
        <v>584.9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3" s="6" customFormat="1" x14ac:dyDescent="0.35">
      <c r="A25" s="6" t="s">
        <v>9</v>
      </c>
      <c r="B25">
        <v>213.39</v>
      </c>
      <c r="C25">
        <v>337.9</v>
      </c>
      <c r="D25">
        <v>336.41</v>
      </c>
      <c r="E25">
        <v>273.77</v>
      </c>
      <c r="F25">
        <v>355.05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3" s="6" customFormat="1" x14ac:dyDescent="0.35">
      <c r="A26" s="6" t="s">
        <v>10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3" s="6" customFormat="1" x14ac:dyDescent="0.35">
      <c r="A27" s="6" t="s">
        <v>11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3" s="6" customFormat="1" x14ac:dyDescent="0.35">
      <c r="A28" s="6" t="s">
        <v>12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3" s="6" customFormat="1" x14ac:dyDescent="0.35">
      <c r="A29" s="6" t="s">
        <v>13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3" s="6" customFormat="1" x14ac:dyDescent="0.35">
      <c r="A30" s="6" t="s">
        <v>14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3" s="6" customFormat="1" x14ac:dyDescent="0.35">
      <c r="A31" s="6" t="s">
        <v>61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3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45016</v>
      </c>
      <c r="C41" s="12">
        <v>45107</v>
      </c>
      <c r="D41" s="12">
        <v>45199</v>
      </c>
      <c r="E41" s="12">
        <v>45291</v>
      </c>
      <c r="F41" s="12">
        <v>45382</v>
      </c>
      <c r="G41" s="12">
        <v>45473</v>
      </c>
      <c r="H41" s="12">
        <v>45565</v>
      </c>
      <c r="I41" s="12">
        <v>45657</v>
      </c>
      <c r="J41" s="12">
        <v>45747</v>
      </c>
      <c r="K41" s="12">
        <v>45838</v>
      </c>
    </row>
    <row r="42" spans="1:11" s="6" customFormat="1" x14ac:dyDescent="0.35">
      <c r="A42" s="6" t="s">
        <v>6</v>
      </c>
      <c r="B42">
        <v>8787.34</v>
      </c>
      <c r="C42">
        <v>9182.31</v>
      </c>
      <c r="D42">
        <v>8478.57</v>
      </c>
      <c r="E42">
        <v>9103.09</v>
      </c>
      <c r="F42">
        <v>8730.76</v>
      </c>
      <c r="G42">
        <v>8969.73</v>
      </c>
      <c r="H42">
        <v>8027.54</v>
      </c>
      <c r="I42">
        <v>8549.44</v>
      </c>
      <c r="J42">
        <v>8358.91</v>
      </c>
      <c r="K42">
        <v>8938.5499999999993</v>
      </c>
    </row>
    <row r="43" spans="1:11" s="6" customFormat="1" x14ac:dyDescent="0.35">
      <c r="A43" s="6" t="s">
        <v>7</v>
      </c>
      <c r="B43">
        <v>6922.58</v>
      </c>
      <c r="C43">
        <v>7061.02</v>
      </c>
      <c r="D43">
        <v>6762.34</v>
      </c>
      <c r="E43">
        <v>7047</v>
      </c>
      <c r="F43">
        <v>7039.39</v>
      </c>
      <c r="G43">
        <v>7275.96</v>
      </c>
      <c r="H43">
        <v>6788.03</v>
      </c>
      <c r="I43">
        <v>6912.71</v>
      </c>
      <c r="J43">
        <v>6922.71</v>
      </c>
      <c r="K43">
        <v>7313.58</v>
      </c>
    </row>
    <row r="44" spans="1:11" s="6" customFormat="1" x14ac:dyDescent="0.35">
      <c r="A44" s="6" t="s">
        <v>9</v>
      </c>
      <c r="B44">
        <v>104.17</v>
      </c>
      <c r="C44">
        <v>227.74</v>
      </c>
      <c r="D44">
        <v>194.33</v>
      </c>
      <c r="E44">
        <v>186.46</v>
      </c>
      <c r="F44">
        <v>212.43</v>
      </c>
      <c r="G44">
        <v>192.93</v>
      </c>
      <c r="H44">
        <v>24.53</v>
      </c>
      <c r="I44">
        <v>192.82</v>
      </c>
      <c r="J44">
        <v>-60.06</v>
      </c>
      <c r="K44">
        <v>229.11</v>
      </c>
    </row>
    <row r="45" spans="1:11" s="6" customFormat="1" x14ac:dyDescent="0.35">
      <c r="A45" s="6" t="s">
        <v>10</v>
      </c>
      <c r="B45">
        <v>220.17</v>
      </c>
      <c r="C45">
        <v>198.32</v>
      </c>
      <c r="D45">
        <v>208.72</v>
      </c>
      <c r="E45">
        <v>220.35</v>
      </c>
      <c r="F45">
        <v>225.61</v>
      </c>
      <c r="G45">
        <v>227.7</v>
      </c>
      <c r="H45">
        <v>241.99</v>
      </c>
      <c r="I45">
        <v>255.55</v>
      </c>
      <c r="J45">
        <v>301.10000000000002</v>
      </c>
      <c r="K45">
        <v>300.87</v>
      </c>
    </row>
    <row r="46" spans="1:11" s="6" customFormat="1" x14ac:dyDescent="0.35">
      <c r="A46" s="6" t="s">
        <v>11</v>
      </c>
      <c r="B46">
        <v>38.909999999999997</v>
      </c>
      <c r="C46">
        <v>45.75</v>
      </c>
      <c r="D46">
        <v>50.9</v>
      </c>
      <c r="E46">
        <v>54.42</v>
      </c>
      <c r="F46">
        <v>54.1</v>
      </c>
      <c r="G46">
        <v>55.38</v>
      </c>
      <c r="H46">
        <v>63.01</v>
      </c>
      <c r="I46">
        <v>55.84</v>
      </c>
      <c r="J46">
        <v>52.79</v>
      </c>
      <c r="K46">
        <v>44.5</v>
      </c>
    </row>
    <row r="47" spans="1:11" s="6" customFormat="1" x14ac:dyDescent="0.35">
      <c r="A47" s="6" t="s">
        <v>12</v>
      </c>
      <c r="B47">
        <v>1709.85</v>
      </c>
      <c r="C47">
        <v>2104.96</v>
      </c>
      <c r="D47">
        <v>1650.94</v>
      </c>
      <c r="E47">
        <v>1967.78</v>
      </c>
      <c r="F47">
        <v>1624.09</v>
      </c>
      <c r="G47">
        <v>1603.62</v>
      </c>
      <c r="H47">
        <v>959.04</v>
      </c>
      <c r="I47">
        <v>1518.16</v>
      </c>
      <c r="J47">
        <v>1022.25</v>
      </c>
      <c r="K47">
        <v>1508.71</v>
      </c>
    </row>
    <row r="48" spans="1:11" s="6" customFormat="1" x14ac:dyDescent="0.35">
      <c r="A48" s="6" t="s">
        <v>13</v>
      </c>
      <c r="B48">
        <v>451.44</v>
      </c>
      <c r="C48">
        <v>530.12</v>
      </c>
      <c r="D48">
        <v>418.55</v>
      </c>
      <c r="E48">
        <v>492.62</v>
      </c>
      <c r="F48">
        <v>348.79</v>
      </c>
      <c r="G48">
        <v>416.83</v>
      </c>
      <c r="H48">
        <v>265.38</v>
      </c>
      <c r="I48">
        <v>389.73</v>
      </c>
      <c r="J48">
        <v>321.42</v>
      </c>
      <c r="K48">
        <v>391.66</v>
      </c>
    </row>
    <row r="49" spans="1:11" s="6" customFormat="1" x14ac:dyDescent="0.35">
      <c r="A49" s="6" t="s">
        <v>14</v>
      </c>
      <c r="B49">
        <v>1234.1400000000001</v>
      </c>
      <c r="C49">
        <v>1550.37</v>
      </c>
      <c r="D49">
        <v>1205.42</v>
      </c>
      <c r="E49">
        <v>1447.72</v>
      </c>
      <c r="F49">
        <v>1256.72</v>
      </c>
      <c r="G49">
        <v>1169.98</v>
      </c>
      <c r="H49">
        <v>694.64</v>
      </c>
      <c r="I49">
        <v>1110.48</v>
      </c>
      <c r="J49">
        <v>692.13</v>
      </c>
      <c r="K49">
        <v>1099.77</v>
      </c>
    </row>
    <row r="50" spans="1:11" x14ac:dyDescent="0.35">
      <c r="A50" s="6" t="s">
        <v>8</v>
      </c>
      <c r="B50">
        <v>1864.76</v>
      </c>
      <c r="C50">
        <v>2121.29</v>
      </c>
      <c r="D50">
        <v>1716.23</v>
      </c>
      <c r="E50">
        <v>2056.09</v>
      </c>
      <c r="F50">
        <v>1691.37</v>
      </c>
      <c r="G50">
        <v>1693.77</v>
      </c>
      <c r="H50">
        <v>1239.51</v>
      </c>
      <c r="I50">
        <v>1636.73</v>
      </c>
      <c r="J50">
        <v>1436.2</v>
      </c>
      <c r="K50">
        <v>1624.97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5">
      <c r="A58" s="6" t="s">
        <v>25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35">
      <c r="A59" s="6" t="s">
        <v>62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35">
      <c r="A60" s="6" t="s">
        <v>63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35">
      <c r="A61" s="1" t="s">
        <v>26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35">
      <c r="A62" s="6" t="s">
        <v>27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35">
      <c r="A63" s="6" t="s">
        <v>28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35">
      <c r="A64" s="6" t="s">
        <v>29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35">
      <c r="A65" s="6" t="s">
        <v>64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35">
      <c r="A66" s="1" t="s">
        <v>26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6" customFormat="1" x14ac:dyDescent="0.35">
      <c r="A67" s="6" t="s">
        <v>69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35">
      <c r="A68" s="6" t="s">
        <v>45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35">
      <c r="A69" s="4" t="s">
        <v>78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35">
      <c r="A70" s="4" t="s">
        <v>65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5">
      <c r="A71" s="4" t="s">
        <v>66</v>
      </c>
    </row>
    <row r="72" spans="1:11" x14ac:dyDescent="0.35">
      <c r="A72" s="4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6" customFormat="1" x14ac:dyDescent="0.35">
      <c r="A83" s="6" t="s">
        <v>33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6" customFormat="1" x14ac:dyDescent="0.35">
      <c r="A84" s="6" t="s">
        <v>34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35">
      <c r="A85" s="6" t="s">
        <v>35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68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35">
      <c r="A92" s="1" t="s">
        <v>67</v>
      </c>
    </row>
    <row r="93" spans="1:11" x14ac:dyDescent="0.35">
      <c r="A93" s="4" t="s">
        <v>80</v>
      </c>
      <c r="B93" s="20">
        <v>95.92</v>
      </c>
      <c r="C93" s="20">
        <v>95.92</v>
      </c>
      <c r="D93" s="20">
        <v>95.92</v>
      </c>
      <c r="E93" s="20">
        <v>95.92</v>
      </c>
      <c r="F93" s="20">
        <v>95.92</v>
      </c>
      <c r="G93" s="20">
        <v>95.92</v>
      </c>
      <c r="H93" s="20">
        <v>95.92</v>
      </c>
      <c r="I93" s="20">
        <v>95.92</v>
      </c>
      <c r="J93" s="20">
        <v>95.92</v>
      </c>
      <c r="K93" s="20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38"/>
  <sheetViews>
    <sheetView zoomScale="82" zoomScaleNormal="150" zoomScalePageLayoutView="150" workbookViewId="0">
      <pane xSplit="1" ySplit="3" topLeftCell="B12" activePane="bottomRight" state="frozen"/>
      <selection pane="topRight" activeCell="B1" sqref="B1"/>
      <selection pane="bottomLeft" activeCell="A4" sqref="A4"/>
      <selection pane="bottomRight" activeCell="A38" sqref="A38"/>
    </sheetView>
  </sheetViews>
  <sheetFormatPr defaultColWidth="8.81640625" defaultRowHeight="14.5" x14ac:dyDescent="0.35"/>
  <cols>
    <col min="1" max="1" width="32.54296875" bestFit="1" customWidth="1"/>
    <col min="2" max="6" width="13.453125" customWidth="1"/>
    <col min="7" max="11" width="13.453125" bestFit="1" customWidth="1"/>
    <col min="12" max="13" width="13.453125" customWidth="1"/>
  </cols>
  <sheetData>
    <row r="1" spans="1:13" s="2" customFormat="1" x14ac:dyDescent="0.35">
      <c r="A1" s="2" t="str">
        <f>'Balance Sheet'!A1</f>
        <v>ASIAN PAINTS LTD</v>
      </c>
      <c r="E1" t="str">
        <f>UPDATE</f>
        <v/>
      </c>
      <c r="F1"/>
    </row>
    <row r="3" spans="1:13" s="2" customFormat="1" x14ac:dyDescent="0.3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3" s="2" customFormat="1" x14ac:dyDescent="0.35">
      <c r="A4" s="2" t="s">
        <v>32</v>
      </c>
      <c r="B4" s="1">
        <f>'Data Sheet'!B82</f>
        <v>2242.9499999999998</v>
      </c>
      <c r="C4" s="1">
        <f>'Data Sheet'!C82</f>
        <v>1527.33</v>
      </c>
      <c r="D4" s="1">
        <f>'Data Sheet'!D82</f>
        <v>2113.44</v>
      </c>
      <c r="E4" s="1">
        <f>'Data Sheet'!E82</f>
        <v>2469.54</v>
      </c>
      <c r="F4" s="1">
        <f>'Data Sheet'!F82</f>
        <v>3038.15</v>
      </c>
      <c r="G4" s="1">
        <f>'Data Sheet'!G82</f>
        <v>3683.35</v>
      </c>
      <c r="H4" s="1">
        <f>'Data Sheet'!H82</f>
        <v>986.49</v>
      </c>
      <c r="I4" s="1">
        <f>'Data Sheet'!I82</f>
        <v>4193.43</v>
      </c>
      <c r="J4" s="1">
        <f>'Data Sheet'!J82</f>
        <v>6103.6</v>
      </c>
      <c r="K4" s="1">
        <f>'Data Sheet'!K82</f>
        <v>4423.96</v>
      </c>
    </row>
    <row r="5" spans="1:13" x14ac:dyDescent="0.35">
      <c r="A5" t="s">
        <v>33</v>
      </c>
      <c r="B5" s="6">
        <f>'Data Sheet'!B83</f>
        <v>-866.21</v>
      </c>
      <c r="C5" s="6">
        <f>'Data Sheet'!C83</f>
        <v>-681.11</v>
      </c>
      <c r="D5" s="6">
        <f>'Data Sheet'!D83</f>
        <v>-1556.14</v>
      </c>
      <c r="E5" s="6">
        <f>'Data Sheet'!E83</f>
        <v>-917.79</v>
      </c>
      <c r="F5" s="6">
        <f>'Data Sheet'!F83</f>
        <v>-517.91</v>
      </c>
      <c r="G5" s="6">
        <f>'Data Sheet'!G83</f>
        <v>-540.54</v>
      </c>
      <c r="H5" s="6">
        <f>'Data Sheet'!H83</f>
        <v>-316.75</v>
      </c>
      <c r="I5" s="6">
        <f>'Data Sheet'!I83</f>
        <v>-1282.3399999999999</v>
      </c>
      <c r="J5" s="6">
        <f>'Data Sheet'!J83</f>
        <v>-2548.48</v>
      </c>
      <c r="K5" s="6">
        <f>'Data Sheet'!K83</f>
        <v>-940.91</v>
      </c>
    </row>
    <row r="6" spans="1:13" x14ac:dyDescent="0.35">
      <c r="A6" t="s">
        <v>34</v>
      </c>
      <c r="B6" s="6">
        <f>'Data Sheet'!B84</f>
        <v>-848.98</v>
      </c>
      <c r="C6" s="6">
        <f>'Data Sheet'!C84</f>
        <v>-756.43</v>
      </c>
      <c r="D6" s="6">
        <f>'Data Sheet'!D84</f>
        <v>-1379.14</v>
      </c>
      <c r="E6" s="6">
        <f>'Data Sheet'!E84</f>
        <v>-1117.46</v>
      </c>
      <c r="F6" s="6">
        <f>'Data Sheet'!F84</f>
        <v>-2871.46</v>
      </c>
      <c r="G6" s="6">
        <f>'Data Sheet'!G84</f>
        <v>-650.4</v>
      </c>
      <c r="H6" s="6">
        <f>'Data Sheet'!H84</f>
        <v>-1807.61</v>
      </c>
      <c r="I6" s="6">
        <f>'Data Sheet'!I84</f>
        <v>-2140.0500000000002</v>
      </c>
      <c r="J6" s="6">
        <f>'Data Sheet'!J84</f>
        <v>-2982.5</v>
      </c>
      <c r="K6" s="6">
        <f>'Data Sheet'!K84</f>
        <v>-3752.58</v>
      </c>
    </row>
    <row r="7" spans="1:13" s="2" customFormat="1" x14ac:dyDescent="0.35">
      <c r="A7" s="2" t="s">
        <v>35</v>
      </c>
      <c r="B7" s="1">
        <f>'Data Sheet'!B85</f>
        <v>527.76</v>
      </c>
      <c r="C7" s="1">
        <f>'Data Sheet'!C85</f>
        <v>89.79</v>
      </c>
      <c r="D7" s="1">
        <f>'Data Sheet'!D85</f>
        <v>-821.84</v>
      </c>
      <c r="E7" s="1">
        <f>'Data Sheet'!E85</f>
        <v>434.29</v>
      </c>
      <c r="F7" s="1">
        <f>'Data Sheet'!F85</f>
        <v>-351.22</v>
      </c>
      <c r="G7" s="1">
        <f>'Data Sheet'!G85</f>
        <v>2492.41</v>
      </c>
      <c r="H7" s="1">
        <f>'Data Sheet'!H85</f>
        <v>-1137.8699999999999</v>
      </c>
      <c r="I7" s="1">
        <f>'Data Sheet'!I85</f>
        <v>771.04</v>
      </c>
      <c r="J7" s="1">
        <f>'Data Sheet'!J85</f>
        <v>572.62</v>
      </c>
      <c r="K7" s="1">
        <f>'Data Sheet'!K85</f>
        <v>-269.52999999999997</v>
      </c>
    </row>
    <row r="8" spans="1:13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10" spans="1:13" ht="15" thickBot="1" x14ac:dyDescent="0.4">
      <c r="B10" s="12">
        <v>41699</v>
      </c>
      <c r="C10" s="12">
        <v>42064</v>
      </c>
      <c r="D10" s="12">
        <v>42430</v>
      </c>
      <c r="E10" s="12">
        <v>42795</v>
      </c>
      <c r="F10" s="12">
        <v>43160</v>
      </c>
      <c r="G10" s="12">
        <v>43525</v>
      </c>
      <c r="H10" s="12">
        <v>43891</v>
      </c>
      <c r="I10" s="12">
        <v>44256</v>
      </c>
      <c r="J10" s="12">
        <v>44621</v>
      </c>
      <c r="K10" s="12">
        <v>44986</v>
      </c>
      <c r="L10" s="12">
        <v>45352</v>
      </c>
      <c r="M10" s="12">
        <v>45717</v>
      </c>
    </row>
    <row r="11" spans="1:13" ht="15" thickBot="1" x14ac:dyDescent="0.4">
      <c r="A11" s="69" t="s">
        <v>127</v>
      </c>
      <c r="B11" s="70">
        <v>1402</v>
      </c>
      <c r="C11" s="70">
        <v>1188</v>
      </c>
      <c r="D11" s="70">
        <v>2243</v>
      </c>
      <c r="E11" s="70">
        <v>1527</v>
      </c>
      <c r="F11" s="70">
        <v>2113</v>
      </c>
      <c r="G11" s="70">
        <v>2470</v>
      </c>
      <c r="H11" s="70">
        <v>3038</v>
      </c>
      <c r="I11" s="70">
        <v>3683</v>
      </c>
      <c r="J11" s="71">
        <v>986</v>
      </c>
      <c r="K11" s="70">
        <v>4193</v>
      </c>
      <c r="L11" s="70">
        <v>6104</v>
      </c>
      <c r="M11" s="70">
        <v>4424</v>
      </c>
    </row>
    <row r="12" spans="1:13" x14ac:dyDescent="0.35">
      <c r="A12" s="69" t="s">
        <v>105</v>
      </c>
      <c r="B12" s="70">
        <v>2051</v>
      </c>
      <c r="C12" s="70">
        <v>2271</v>
      </c>
      <c r="D12" s="70">
        <v>2848</v>
      </c>
      <c r="E12" s="70">
        <v>3056</v>
      </c>
      <c r="F12" s="70">
        <v>3274</v>
      </c>
      <c r="G12" s="70">
        <v>3861</v>
      </c>
      <c r="H12" s="70">
        <v>4380</v>
      </c>
      <c r="I12" s="70">
        <v>4970</v>
      </c>
      <c r="J12" s="70">
        <v>4957</v>
      </c>
      <c r="K12" s="70">
        <v>6460</v>
      </c>
      <c r="L12" s="70">
        <v>7929</v>
      </c>
      <c r="M12" s="70">
        <v>6390</v>
      </c>
    </row>
    <row r="13" spans="1:13" x14ac:dyDescent="0.35">
      <c r="A13" s="72" t="s">
        <v>69</v>
      </c>
      <c r="B13" s="73">
        <v>-254</v>
      </c>
      <c r="C13" s="73">
        <v>-155</v>
      </c>
      <c r="D13" s="73">
        <v>-146</v>
      </c>
      <c r="E13" s="73">
        <v>-475</v>
      </c>
      <c r="F13" s="73">
        <v>-483</v>
      </c>
      <c r="G13" s="73">
        <v>-205</v>
      </c>
      <c r="H13" s="73">
        <v>160</v>
      </c>
      <c r="I13" s="73">
        <v>-849</v>
      </c>
      <c r="J13" s="74">
        <v>-1326</v>
      </c>
      <c r="K13" s="73">
        <v>-834</v>
      </c>
      <c r="L13" s="73">
        <v>-362</v>
      </c>
      <c r="M13" s="73">
        <v>282</v>
      </c>
    </row>
    <row r="14" spans="1:13" x14ac:dyDescent="0.35">
      <c r="A14" s="72" t="s">
        <v>45</v>
      </c>
      <c r="B14" s="73">
        <v>-231</v>
      </c>
      <c r="C14" s="73">
        <v>-144</v>
      </c>
      <c r="D14" s="73">
        <v>202</v>
      </c>
      <c r="E14" s="73">
        <v>-629</v>
      </c>
      <c r="F14" s="73">
        <v>-39</v>
      </c>
      <c r="G14" s="73">
        <v>-492</v>
      </c>
      <c r="H14" s="73">
        <v>-251</v>
      </c>
      <c r="I14" s="73">
        <v>-409</v>
      </c>
      <c r="J14" s="74">
        <v>-2354</v>
      </c>
      <c r="K14" s="73">
        <v>-56</v>
      </c>
      <c r="L14" s="73">
        <v>315</v>
      </c>
      <c r="M14" s="73">
        <v>-805</v>
      </c>
    </row>
    <row r="15" spans="1:13" x14ac:dyDescent="0.35">
      <c r="A15" s="72" t="s">
        <v>106</v>
      </c>
      <c r="B15" s="73">
        <v>317</v>
      </c>
      <c r="C15" s="73">
        <v>-151</v>
      </c>
      <c r="D15" s="73">
        <v>142</v>
      </c>
      <c r="E15" s="73">
        <v>501</v>
      </c>
      <c r="F15" s="73">
        <v>442</v>
      </c>
      <c r="G15" s="73">
        <v>287</v>
      </c>
      <c r="H15" s="73">
        <v>-241</v>
      </c>
      <c r="I15" s="74">
        <v>1143</v>
      </c>
      <c r="J15" s="73">
        <v>644</v>
      </c>
      <c r="K15" s="73">
        <v>-539</v>
      </c>
      <c r="L15" s="73">
        <v>269</v>
      </c>
      <c r="M15" s="73">
        <v>-160</v>
      </c>
    </row>
    <row r="16" spans="1:13" ht="15" thickBot="1" x14ac:dyDescent="0.4">
      <c r="A16" s="72" t="s">
        <v>107</v>
      </c>
      <c r="B16" s="73">
        <v>0</v>
      </c>
      <c r="C16" s="73">
        <v>0</v>
      </c>
      <c r="D16" s="73">
        <v>0</v>
      </c>
      <c r="E16" s="73">
        <v>0</v>
      </c>
      <c r="F16" s="73">
        <v>0</v>
      </c>
      <c r="G16" s="73">
        <v>0</v>
      </c>
      <c r="H16" s="73">
        <v>0</v>
      </c>
      <c r="I16" s="73">
        <v>-92</v>
      </c>
      <c r="J16" s="73">
        <v>242</v>
      </c>
      <c r="K16" s="73">
        <v>657</v>
      </c>
      <c r="L16" s="73">
        <v>-212</v>
      </c>
      <c r="M16" s="73">
        <v>114</v>
      </c>
    </row>
    <row r="17" spans="1:13" x14ac:dyDescent="0.35">
      <c r="A17" s="69" t="s">
        <v>108</v>
      </c>
      <c r="B17" s="71">
        <v>-168</v>
      </c>
      <c r="C17" s="71">
        <v>-450</v>
      </c>
      <c r="D17" s="71">
        <v>198</v>
      </c>
      <c r="E17" s="71">
        <v>-603</v>
      </c>
      <c r="F17" s="71">
        <v>-80</v>
      </c>
      <c r="G17" s="71">
        <v>-410</v>
      </c>
      <c r="H17" s="71">
        <v>-331</v>
      </c>
      <c r="I17" s="71">
        <v>-206</v>
      </c>
      <c r="J17" s="70">
        <v>-2795</v>
      </c>
      <c r="K17" s="71">
        <v>-772</v>
      </c>
      <c r="L17" s="71">
        <v>10</v>
      </c>
      <c r="M17" s="71">
        <v>-570</v>
      </c>
    </row>
    <row r="18" spans="1:13" ht="15" thickBot="1" x14ac:dyDescent="0.4">
      <c r="A18" s="72" t="s">
        <v>109</v>
      </c>
      <c r="B18" s="73">
        <v>-480</v>
      </c>
      <c r="C18" s="73">
        <v>-633</v>
      </c>
      <c r="D18" s="73">
        <v>-802</v>
      </c>
      <c r="E18" s="73">
        <v>-925</v>
      </c>
      <c r="F18" s="74">
        <v>-1081</v>
      </c>
      <c r="G18" s="73">
        <v>-982</v>
      </c>
      <c r="H18" s="74">
        <v>-1011</v>
      </c>
      <c r="I18" s="74">
        <v>-1080</v>
      </c>
      <c r="J18" s="74">
        <v>-1176</v>
      </c>
      <c r="K18" s="74">
        <v>-1494</v>
      </c>
      <c r="L18" s="74">
        <v>-1835</v>
      </c>
      <c r="M18" s="74">
        <v>-1396</v>
      </c>
    </row>
    <row r="19" spans="1:13" x14ac:dyDescent="0.35">
      <c r="A19" s="75" t="s">
        <v>128</v>
      </c>
      <c r="B19" s="76">
        <v>-586</v>
      </c>
      <c r="C19" s="76">
        <v>-465</v>
      </c>
      <c r="D19" s="76">
        <v>-866</v>
      </c>
      <c r="E19" s="76">
        <v>-681</v>
      </c>
      <c r="F19" s="77">
        <v>-1556</v>
      </c>
      <c r="G19" s="76">
        <v>-918</v>
      </c>
      <c r="H19" s="76">
        <v>-518</v>
      </c>
      <c r="I19" s="76">
        <v>-541</v>
      </c>
      <c r="J19" s="76">
        <v>-317</v>
      </c>
      <c r="K19" s="77">
        <v>-1282</v>
      </c>
      <c r="L19" s="77">
        <v>-2548</v>
      </c>
      <c r="M19" s="76">
        <v>-941</v>
      </c>
    </row>
    <row r="20" spans="1:13" x14ac:dyDescent="0.35">
      <c r="A20" s="54" t="s">
        <v>110</v>
      </c>
      <c r="B20" s="78">
        <v>-251</v>
      </c>
      <c r="C20" s="78">
        <v>-454</v>
      </c>
      <c r="D20" s="78">
        <v>-817</v>
      </c>
      <c r="E20" s="78">
        <v>-684</v>
      </c>
      <c r="F20" s="79">
        <v>-1426</v>
      </c>
      <c r="G20" s="79">
        <v>-1151</v>
      </c>
      <c r="H20" s="78">
        <v>-404</v>
      </c>
      <c r="I20" s="78">
        <v>-282</v>
      </c>
      <c r="J20" s="78">
        <v>-551</v>
      </c>
      <c r="K20" s="79">
        <v>-1446</v>
      </c>
      <c r="L20" s="79">
        <v>-2496</v>
      </c>
      <c r="M20" s="79">
        <v>-1830</v>
      </c>
    </row>
    <row r="21" spans="1:13" x14ac:dyDescent="0.35">
      <c r="A21" s="54" t="s">
        <v>111</v>
      </c>
      <c r="B21" s="78">
        <v>16</v>
      </c>
      <c r="C21" s="78">
        <v>16</v>
      </c>
      <c r="D21" s="78">
        <v>15</v>
      </c>
      <c r="E21" s="78">
        <v>17</v>
      </c>
      <c r="F21" s="78">
        <v>17</v>
      </c>
      <c r="G21" s="78">
        <v>17</v>
      </c>
      <c r="H21" s="78">
        <v>37</v>
      </c>
      <c r="I21" s="78">
        <v>28</v>
      </c>
      <c r="J21" s="78">
        <v>40</v>
      </c>
      <c r="K21" s="78">
        <v>26</v>
      </c>
      <c r="L21" s="78">
        <v>5</v>
      </c>
      <c r="M21" s="78">
        <v>10</v>
      </c>
    </row>
    <row r="22" spans="1:13" x14ac:dyDescent="0.35">
      <c r="A22" s="54" t="s">
        <v>112</v>
      </c>
      <c r="B22" s="78">
        <v>-872</v>
      </c>
      <c r="C22" s="78">
        <v>-243</v>
      </c>
      <c r="D22" s="78">
        <v>-282</v>
      </c>
      <c r="E22" s="78">
        <v>-153</v>
      </c>
      <c r="F22" s="78">
        <v>-320</v>
      </c>
      <c r="G22" s="78">
        <v>-573</v>
      </c>
      <c r="H22" s="78">
        <v>-25</v>
      </c>
      <c r="I22" s="78">
        <v>-140</v>
      </c>
      <c r="J22" s="78">
        <v>0</v>
      </c>
      <c r="K22" s="78">
        <v>-146</v>
      </c>
      <c r="L22" s="78">
        <v>-212</v>
      </c>
      <c r="M22" s="78">
        <v>-1</v>
      </c>
    </row>
    <row r="23" spans="1:13" x14ac:dyDescent="0.35">
      <c r="A23" s="54" t="s">
        <v>113</v>
      </c>
      <c r="B23" s="78">
        <v>463</v>
      </c>
      <c r="C23" s="78">
        <v>278</v>
      </c>
      <c r="D23" s="78">
        <v>205</v>
      </c>
      <c r="E23" s="78">
        <v>357</v>
      </c>
      <c r="F23" s="78">
        <v>362</v>
      </c>
      <c r="G23" s="78">
        <v>733</v>
      </c>
      <c r="H23" s="78">
        <v>134</v>
      </c>
      <c r="I23" s="78">
        <v>272</v>
      </c>
      <c r="J23" s="78">
        <v>207</v>
      </c>
      <c r="K23" s="78">
        <v>446</v>
      </c>
      <c r="L23" s="78">
        <v>240</v>
      </c>
      <c r="M23" s="78">
        <v>421</v>
      </c>
    </row>
    <row r="24" spans="1:13" x14ac:dyDescent="0.35">
      <c r="A24" s="54" t="s">
        <v>114</v>
      </c>
      <c r="B24" s="78">
        <v>14</v>
      </c>
      <c r="C24" s="78">
        <v>11</v>
      </c>
      <c r="D24" s="78">
        <v>15</v>
      </c>
      <c r="E24" s="78">
        <v>32</v>
      </c>
      <c r="F24" s="78">
        <v>39</v>
      </c>
      <c r="G24" s="78">
        <v>40</v>
      </c>
      <c r="H24" s="78">
        <v>65</v>
      </c>
      <c r="I24" s="78">
        <v>73</v>
      </c>
      <c r="J24" s="78">
        <v>77</v>
      </c>
      <c r="K24" s="78">
        <v>87</v>
      </c>
      <c r="L24" s="78">
        <v>135</v>
      </c>
      <c r="M24" s="78">
        <v>155</v>
      </c>
    </row>
    <row r="25" spans="1:13" x14ac:dyDescent="0.35">
      <c r="A25" s="54" t="s">
        <v>115</v>
      </c>
      <c r="B25" s="78">
        <v>65</v>
      </c>
      <c r="C25" s="78">
        <v>71</v>
      </c>
      <c r="D25" s="78">
        <v>69</v>
      </c>
      <c r="E25" s="78">
        <v>74</v>
      </c>
      <c r="F25" s="78">
        <v>38</v>
      </c>
      <c r="G25" s="78">
        <v>40</v>
      </c>
      <c r="H25" s="78">
        <v>27</v>
      </c>
      <c r="I25" s="78">
        <v>8</v>
      </c>
      <c r="J25" s="78">
        <v>15</v>
      </c>
      <c r="K25" s="78">
        <v>56</v>
      </c>
      <c r="L25" s="78">
        <v>129</v>
      </c>
      <c r="M25" s="78">
        <v>136</v>
      </c>
    </row>
    <row r="26" spans="1:13" x14ac:dyDescent="0.35">
      <c r="A26" s="54" t="s">
        <v>116</v>
      </c>
      <c r="B26" s="78">
        <v>0</v>
      </c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-180</v>
      </c>
      <c r="L26" s="78">
        <v>0</v>
      </c>
      <c r="M26" s="78">
        <v>0</v>
      </c>
    </row>
    <row r="27" spans="1:13" x14ac:dyDescent="0.35">
      <c r="A27" s="54" t="s">
        <v>117</v>
      </c>
      <c r="B27" s="78">
        <v>0</v>
      </c>
      <c r="C27" s="78">
        <v>0</v>
      </c>
      <c r="D27" s="78">
        <v>0</v>
      </c>
      <c r="E27" s="78">
        <v>0</v>
      </c>
      <c r="F27" s="78">
        <v>141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38</v>
      </c>
    </row>
    <row r="28" spans="1:13" x14ac:dyDescent="0.35">
      <c r="A28" s="54" t="s">
        <v>118</v>
      </c>
      <c r="B28" s="78">
        <v>0</v>
      </c>
      <c r="C28" s="78">
        <v>0</v>
      </c>
      <c r="D28" s="78">
        <v>0</v>
      </c>
      <c r="E28" s="78">
        <v>0</v>
      </c>
      <c r="F28" s="78">
        <v>-525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</row>
    <row r="29" spans="1:13" ht="15" thickBot="1" x14ac:dyDescent="0.4">
      <c r="A29" s="54" t="s">
        <v>119</v>
      </c>
      <c r="B29" s="78">
        <v>-21</v>
      </c>
      <c r="C29" s="78">
        <v>-144</v>
      </c>
      <c r="D29" s="78">
        <v>-70</v>
      </c>
      <c r="E29" s="78">
        <v>-324</v>
      </c>
      <c r="F29" s="78">
        <v>118</v>
      </c>
      <c r="G29" s="78">
        <v>-24</v>
      </c>
      <c r="H29" s="78">
        <v>-353</v>
      </c>
      <c r="I29" s="78">
        <v>-500</v>
      </c>
      <c r="J29" s="78">
        <v>-105</v>
      </c>
      <c r="K29" s="78">
        <v>-126</v>
      </c>
      <c r="L29" s="78">
        <v>-350</v>
      </c>
      <c r="M29" s="78">
        <v>130</v>
      </c>
    </row>
    <row r="30" spans="1:13" x14ac:dyDescent="0.35">
      <c r="A30" s="69" t="s">
        <v>129</v>
      </c>
      <c r="B30" s="71">
        <v>-626</v>
      </c>
      <c r="C30" s="71">
        <v>-576</v>
      </c>
      <c r="D30" s="71">
        <v>-849</v>
      </c>
      <c r="E30" s="71">
        <v>-756</v>
      </c>
      <c r="F30" s="70">
        <v>-1379</v>
      </c>
      <c r="G30" s="70">
        <v>-1117</v>
      </c>
      <c r="H30" s="70">
        <v>-2871</v>
      </c>
      <c r="I30" s="71">
        <v>-650</v>
      </c>
      <c r="J30" s="70">
        <v>-1808</v>
      </c>
      <c r="K30" s="70">
        <v>-2140</v>
      </c>
      <c r="L30" s="70">
        <v>-2982</v>
      </c>
      <c r="M30" s="70">
        <v>-3753</v>
      </c>
    </row>
    <row r="31" spans="1:13" x14ac:dyDescent="0.35">
      <c r="A31" s="72" t="s">
        <v>120</v>
      </c>
      <c r="B31" s="73">
        <v>0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0</v>
      </c>
      <c r="I31" s="73">
        <v>0</v>
      </c>
      <c r="J31" s="73">
        <v>0</v>
      </c>
      <c r="K31" s="73">
        <v>0</v>
      </c>
      <c r="L31" s="73">
        <v>1</v>
      </c>
      <c r="M31" s="73">
        <v>0</v>
      </c>
    </row>
    <row r="32" spans="1:13" x14ac:dyDescent="0.35">
      <c r="A32" s="72" t="s">
        <v>121</v>
      </c>
      <c r="B32" s="73">
        <v>44</v>
      </c>
      <c r="C32" s="73">
        <v>239</v>
      </c>
      <c r="D32" s="73">
        <v>8</v>
      </c>
      <c r="E32" s="73">
        <v>271</v>
      </c>
      <c r="F32" s="73">
        <v>10</v>
      </c>
      <c r="G32" s="73">
        <v>243</v>
      </c>
      <c r="H32" s="73">
        <v>18</v>
      </c>
      <c r="I32" s="73">
        <v>155</v>
      </c>
      <c r="J32" s="73">
        <v>418</v>
      </c>
      <c r="K32" s="73">
        <v>254</v>
      </c>
      <c r="L32" s="73">
        <v>101</v>
      </c>
      <c r="M32" s="73">
        <v>415</v>
      </c>
    </row>
    <row r="33" spans="1:13" x14ac:dyDescent="0.35">
      <c r="A33" s="72" t="s">
        <v>122</v>
      </c>
      <c r="B33" s="73">
        <v>-81</v>
      </c>
      <c r="C33" s="73">
        <v>-86</v>
      </c>
      <c r="D33" s="73">
        <v>-119</v>
      </c>
      <c r="E33" s="73">
        <v>-58</v>
      </c>
      <c r="F33" s="73">
        <v>-54</v>
      </c>
      <c r="G33" s="73">
        <v>-26</v>
      </c>
      <c r="H33" s="73">
        <v>-279</v>
      </c>
      <c r="I33" s="73">
        <v>-14</v>
      </c>
      <c r="J33" s="73">
        <v>-8</v>
      </c>
      <c r="K33" s="73">
        <v>-25</v>
      </c>
      <c r="L33" s="73">
        <v>-98</v>
      </c>
      <c r="M33" s="73">
        <v>-428</v>
      </c>
    </row>
    <row r="34" spans="1:13" x14ac:dyDescent="0.35">
      <c r="A34" s="72" t="s">
        <v>123</v>
      </c>
      <c r="B34" s="73">
        <v>-42</v>
      </c>
      <c r="C34" s="73">
        <v>-35</v>
      </c>
      <c r="D34" s="73">
        <v>-40</v>
      </c>
      <c r="E34" s="73">
        <v>-36</v>
      </c>
      <c r="F34" s="73">
        <v>-35</v>
      </c>
      <c r="G34" s="73">
        <v>-106</v>
      </c>
      <c r="H34" s="73">
        <v>-101</v>
      </c>
      <c r="I34" s="73">
        <v>-89</v>
      </c>
      <c r="J34" s="73">
        <v>-94</v>
      </c>
      <c r="K34" s="73">
        <v>-142</v>
      </c>
      <c r="L34" s="73">
        <v>-191</v>
      </c>
      <c r="M34" s="73">
        <v>-203</v>
      </c>
    </row>
    <row r="35" spans="1:13" x14ac:dyDescent="0.35">
      <c r="A35" s="72" t="s">
        <v>124</v>
      </c>
      <c r="B35" s="73">
        <v>-547</v>
      </c>
      <c r="C35" s="73">
        <v>-695</v>
      </c>
      <c r="D35" s="73">
        <v>-764</v>
      </c>
      <c r="E35" s="73">
        <v>-947</v>
      </c>
      <c r="F35" s="74">
        <v>-1218</v>
      </c>
      <c r="G35" s="74">
        <v>-1049</v>
      </c>
      <c r="H35" s="74">
        <v>-2121</v>
      </c>
      <c r="I35" s="73">
        <v>-499</v>
      </c>
      <c r="J35" s="74">
        <v>-1763</v>
      </c>
      <c r="K35" s="74">
        <v>-1936</v>
      </c>
      <c r="L35" s="74">
        <v>-2551</v>
      </c>
      <c r="M35" s="74">
        <v>-3140</v>
      </c>
    </row>
    <row r="36" spans="1:13" x14ac:dyDescent="0.35">
      <c r="A36" s="72" t="s">
        <v>125</v>
      </c>
      <c r="B36" s="73">
        <v>0</v>
      </c>
      <c r="C36" s="73">
        <v>0</v>
      </c>
      <c r="D36" s="73">
        <v>0</v>
      </c>
      <c r="E36" s="73">
        <v>0</v>
      </c>
      <c r="F36" s="73">
        <v>0</v>
      </c>
      <c r="G36" s="73">
        <v>-180</v>
      </c>
      <c r="H36" s="73">
        <v>-179</v>
      </c>
      <c r="I36" s="73">
        <v>-203</v>
      </c>
      <c r="J36" s="73">
        <v>-221</v>
      </c>
      <c r="K36" s="73">
        <v>-256</v>
      </c>
      <c r="L36" s="73">
        <v>-286</v>
      </c>
      <c r="M36" s="73">
        <v>-325</v>
      </c>
    </row>
    <row r="37" spans="1:13" ht="15" thickBot="1" x14ac:dyDescent="0.4">
      <c r="A37" s="72" t="s">
        <v>126</v>
      </c>
      <c r="B37" s="73">
        <v>0</v>
      </c>
      <c r="C37" s="73">
        <v>0</v>
      </c>
      <c r="D37" s="73">
        <v>66</v>
      </c>
      <c r="E37" s="73">
        <v>13</v>
      </c>
      <c r="F37" s="73">
        <v>-82</v>
      </c>
      <c r="G37" s="73">
        <v>0</v>
      </c>
      <c r="H37" s="73">
        <v>-209</v>
      </c>
      <c r="I37" s="73">
        <v>0</v>
      </c>
      <c r="J37" s="73">
        <v>-140</v>
      </c>
      <c r="K37" s="73">
        <v>-36</v>
      </c>
      <c r="L37" s="73">
        <v>41</v>
      </c>
      <c r="M37" s="73">
        <v>-72</v>
      </c>
    </row>
    <row r="38" spans="1:13" x14ac:dyDescent="0.35">
      <c r="A38" s="75" t="s">
        <v>35</v>
      </c>
      <c r="B38" s="76">
        <v>190</v>
      </c>
      <c r="C38" s="76">
        <v>147</v>
      </c>
      <c r="D38" s="76">
        <v>528</v>
      </c>
      <c r="E38" s="76">
        <v>90</v>
      </c>
      <c r="F38" s="76">
        <v>-822</v>
      </c>
      <c r="G38" s="76">
        <v>434</v>
      </c>
      <c r="H38" s="76">
        <v>-351</v>
      </c>
      <c r="I38" s="77">
        <v>2492</v>
      </c>
      <c r="J38" s="77">
        <v>-1138</v>
      </c>
      <c r="K38" s="76">
        <v>771</v>
      </c>
      <c r="L38" s="76">
        <v>573</v>
      </c>
      <c r="M38" s="76">
        <v>-270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70" zoomScaleNormal="70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A14" sqref="A1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ASIAN PAINTS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5">
      <c r="A4" t="s">
        <v>24</v>
      </c>
      <c r="B4" s="14">
        <f>'Data Sheet'!B57</f>
        <v>95.92</v>
      </c>
      <c r="C4" s="14">
        <f>'Data Sheet'!C57</f>
        <v>95.92</v>
      </c>
      <c r="D4" s="14">
        <f>'Data Sheet'!D57</f>
        <v>95.92</v>
      </c>
      <c r="E4" s="14">
        <f>'Data Sheet'!E57</f>
        <v>95.92</v>
      </c>
      <c r="F4" s="14">
        <f>'Data Sheet'!F57</f>
        <v>95.92</v>
      </c>
      <c r="G4" s="14">
        <f>'Data Sheet'!G57</f>
        <v>95.92</v>
      </c>
      <c r="H4" s="14">
        <f>'Data Sheet'!H57</f>
        <v>95.92</v>
      </c>
      <c r="I4" s="14">
        <f>'Data Sheet'!I57</f>
        <v>95.92</v>
      </c>
      <c r="J4" s="14">
        <f>'Data Sheet'!J57</f>
        <v>95.92</v>
      </c>
      <c r="K4" s="14">
        <f>'Data Sheet'!K57</f>
        <v>95.92</v>
      </c>
    </row>
    <row r="5" spans="1:11" x14ac:dyDescent="0.35">
      <c r="A5" t="s">
        <v>25</v>
      </c>
      <c r="B5" s="14">
        <f>'Data Sheet'!B58</f>
        <v>6428.9</v>
      </c>
      <c r="C5" s="14">
        <f>'Data Sheet'!C58</f>
        <v>7507.97</v>
      </c>
      <c r="D5" s="14">
        <f>'Data Sheet'!D58</f>
        <v>8314.31</v>
      </c>
      <c r="E5" s="14">
        <f>'Data Sheet'!E58</f>
        <v>9374.6299999999992</v>
      </c>
      <c r="F5" s="14">
        <f>'Data Sheet'!F58</f>
        <v>10034.24</v>
      </c>
      <c r="G5" s="14">
        <f>'Data Sheet'!G58</f>
        <v>12710.37</v>
      </c>
      <c r="H5" s="14">
        <f>'Data Sheet'!H58</f>
        <v>13715.64</v>
      </c>
      <c r="I5" s="14">
        <f>'Data Sheet'!I58</f>
        <v>15896.31</v>
      </c>
      <c r="J5" s="14">
        <f>'Data Sheet'!J58</f>
        <v>18632.38</v>
      </c>
      <c r="K5" s="14">
        <f>'Data Sheet'!K58</f>
        <v>19303.89</v>
      </c>
    </row>
    <row r="6" spans="1:11" x14ac:dyDescent="0.35">
      <c r="A6" t="s">
        <v>62</v>
      </c>
      <c r="B6" s="14">
        <f>'Data Sheet'!B59</f>
        <v>323.29000000000002</v>
      </c>
      <c r="C6" s="14">
        <f>'Data Sheet'!C59</f>
        <v>560.34</v>
      </c>
      <c r="D6" s="14">
        <f>'Data Sheet'!D59</f>
        <v>533.42999999999995</v>
      </c>
      <c r="E6" s="14">
        <f>'Data Sheet'!E59</f>
        <v>1319.6</v>
      </c>
      <c r="F6" s="14">
        <f>'Data Sheet'!F59</f>
        <v>1118.5</v>
      </c>
      <c r="G6" s="14">
        <f>'Data Sheet'!G59</f>
        <v>1093.1199999999999</v>
      </c>
      <c r="H6" s="14">
        <f>'Data Sheet'!H59</f>
        <v>1586.88</v>
      </c>
      <c r="I6" s="14">
        <f>'Data Sheet'!I59</f>
        <v>1932.62</v>
      </c>
      <c r="J6" s="14">
        <f>'Data Sheet'!J59</f>
        <v>2474.38</v>
      </c>
      <c r="K6" s="14">
        <f>'Data Sheet'!K59</f>
        <v>2290.29</v>
      </c>
    </row>
    <row r="7" spans="1:11" x14ac:dyDescent="0.35">
      <c r="A7" t="s">
        <v>63</v>
      </c>
      <c r="B7" s="14">
        <f>'Data Sheet'!B60</f>
        <v>3710.92</v>
      </c>
      <c r="C7" s="14">
        <f>'Data Sheet'!C60</f>
        <v>4240.96</v>
      </c>
      <c r="D7" s="14">
        <f>'Data Sheet'!D60</f>
        <v>4819.82</v>
      </c>
      <c r="E7" s="14">
        <f>'Data Sheet'!E60</f>
        <v>5458.69</v>
      </c>
      <c r="F7" s="14">
        <f>'Data Sheet'!F60</f>
        <v>4889.3100000000004</v>
      </c>
      <c r="G7" s="14">
        <f>'Data Sheet'!G60</f>
        <v>6455.93</v>
      </c>
      <c r="H7" s="14">
        <f>'Data Sheet'!H60</f>
        <v>7559.99</v>
      </c>
      <c r="I7" s="14">
        <f>'Data Sheet'!I60</f>
        <v>7854.48</v>
      </c>
      <c r="J7" s="14">
        <f>'Data Sheet'!J60</f>
        <v>8698.09</v>
      </c>
      <c r="K7" s="14">
        <f>'Data Sheet'!K60</f>
        <v>8665.15</v>
      </c>
    </row>
    <row r="8" spans="1:11" s="2" customFormat="1" x14ac:dyDescent="0.35">
      <c r="A8" s="2" t="s">
        <v>26</v>
      </c>
      <c r="B8" s="15">
        <f>'Data Sheet'!B61</f>
        <v>10559.03</v>
      </c>
      <c r="C8" s="15">
        <f>'Data Sheet'!C61</f>
        <v>12405.19</v>
      </c>
      <c r="D8" s="15">
        <f>'Data Sheet'!D61</f>
        <v>13763.48</v>
      </c>
      <c r="E8" s="15">
        <f>'Data Sheet'!E61</f>
        <v>16248.84</v>
      </c>
      <c r="F8" s="15">
        <f>'Data Sheet'!F61</f>
        <v>16137.97</v>
      </c>
      <c r="G8" s="15">
        <f>'Data Sheet'!G61</f>
        <v>20355.34</v>
      </c>
      <c r="H8" s="15">
        <f>'Data Sheet'!H61</f>
        <v>22958.43</v>
      </c>
      <c r="I8" s="15">
        <f>'Data Sheet'!I61</f>
        <v>25779.33</v>
      </c>
      <c r="J8" s="15">
        <f>'Data Sheet'!J61</f>
        <v>29900.77</v>
      </c>
      <c r="K8" s="15">
        <f>'Data Sheet'!K61</f>
        <v>30355.25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3416.35</v>
      </c>
      <c r="C10" s="14">
        <f>'Data Sheet'!C62</f>
        <v>3303.74</v>
      </c>
      <c r="D10" s="14">
        <f>'Data Sheet'!D62</f>
        <v>3732.24</v>
      </c>
      <c r="E10" s="14">
        <f>'Data Sheet'!E62</f>
        <v>6496.56</v>
      </c>
      <c r="F10" s="14">
        <f>'Data Sheet'!F62</f>
        <v>6272.31</v>
      </c>
      <c r="G10" s="14">
        <f>'Data Sheet'!G62</f>
        <v>5858.52</v>
      </c>
      <c r="H10" s="14">
        <f>'Data Sheet'!H62</f>
        <v>5519.06</v>
      </c>
      <c r="I10" s="14">
        <f>'Data Sheet'!I62</f>
        <v>5770.46</v>
      </c>
      <c r="J10" s="14">
        <f>'Data Sheet'!J62</f>
        <v>7146.62</v>
      </c>
      <c r="K10" s="14">
        <f>'Data Sheet'!K62</f>
        <v>9220.1</v>
      </c>
    </row>
    <row r="11" spans="1:11" x14ac:dyDescent="0.35">
      <c r="A11" t="s">
        <v>28</v>
      </c>
      <c r="B11" s="14">
        <f>'Data Sheet'!B63</f>
        <v>106.59</v>
      </c>
      <c r="C11" s="14">
        <f>'Data Sheet'!C63</f>
        <v>257.54000000000002</v>
      </c>
      <c r="D11" s="14">
        <f>'Data Sheet'!D63</f>
        <v>1405.11</v>
      </c>
      <c r="E11" s="14">
        <f>'Data Sheet'!E63</f>
        <v>209.67</v>
      </c>
      <c r="F11" s="14">
        <f>'Data Sheet'!F63</f>
        <v>140.24</v>
      </c>
      <c r="G11" s="14">
        <f>'Data Sheet'!G63</f>
        <v>182.98</v>
      </c>
      <c r="H11" s="14">
        <f>'Data Sheet'!H63</f>
        <v>426.43</v>
      </c>
      <c r="I11" s="14">
        <f>'Data Sheet'!I63</f>
        <v>1019.59</v>
      </c>
      <c r="J11" s="14">
        <f>'Data Sheet'!J63</f>
        <v>2698.37</v>
      </c>
      <c r="K11" s="14">
        <f>'Data Sheet'!K63</f>
        <v>1254.49</v>
      </c>
    </row>
    <row r="12" spans="1:11" x14ac:dyDescent="0.35">
      <c r="A12" t="s">
        <v>29</v>
      </c>
      <c r="B12" s="14">
        <f>'Data Sheet'!B64</f>
        <v>2712.13</v>
      </c>
      <c r="C12" s="14">
        <f>'Data Sheet'!C64</f>
        <v>2651.99</v>
      </c>
      <c r="D12" s="14">
        <f>'Data Sheet'!D64</f>
        <v>2140.6999999999998</v>
      </c>
      <c r="E12" s="14">
        <f>'Data Sheet'!E64</f>
        <v>2568.58</v>
      </c>
      <c r="F12" s="14">
        <f>'Data Sheet'!F64</f>
        <v>2018.85</v>
      </c>
      <c r="G12" s="14">
        <f>'Data Sheet'!G64</f>
        <v>4736.8</v>
      </c>
      <c r="H12" s="14">
        <f>'Data Sheet'!H64</f>
        <v>3247.53</v>
      </c>
      <c r="I12" s="14">
        <f>'Data Sheet'!I64</f>
        <v>4261.71</v>
      </c>
      <c r="J12" s="14">
        <f>'Data Sheet'!J64</f>
        <v>4587.92</v>
      </c>
      <c r="K12" s="14">
        <f>'Data Sheet'!K64</f>
        <v>4724.75</v>
      </c>
    </row>
    <row r="13" spans="1:11" x14ac:dyDescent="0.35">
      <c r="A13" t="s">
        <v>64</v>
      </c>
      <c r="B13" s="14">
        <f>'Data Sheet'!B65</f>
        <v>4323.96</v>
      </c>
      <c r="C13" s="14">
        <f>'Data Sheet'!C65</f>
        <v>6191.92</v>
      </c>
      <c r="D13" s="14">
        <f>'Data Sheet'!D65</f>
        <v>6485.43</v>
      </c>
      <c r="E13" s="14">
        <f>'Data Sheet'!E65</f>
        <v>6974.03</v>
      </c>
      <c r="F13" s="14">
        <f>'Data Sheet'!F65</f>
        <v>7706.57</v>
      </c>
      <c r="G13" s="14">
        <f>'Data Sheet'!G65</f>
        <v>9577.0400000000009</v>
      </c>
      <c r="H13" s="14">
        <f>'Data Sheet'!H65</f>
        <v>13765.41</v>
      </c>
      <c r="I13" s="14">
        <f>'Data Sheet'!I65</f>
        <v>14727.57</v>
      </c>
      <c r="J13" s="14">
        <f>'Data Sheet'!J65</f>
        <v>15467.86</v>
      </c>
      <c r="K13" s="14">
        <f>'Data Sheet'!K65</f>
        <v>15155.91</v>
      </c>
    </row>
    <row r="14" spans="1:11" s="2" customFormat="1" x14ac:dyDescent="0.35">
      <c r="A14" s="2" t="s">
        <v>26</v>
      </c>
      <c r="B14" s="14">
        <f>'Data Sheet'!B66</f>
        <v>10559.03</v>
      </c>
      <c r="C14" s="14">
        <f>'Data Sheet'!C66</f>
        <v>12405.19</v>
      </c>
      <c r="D14" s="14">
        <f>'Data Sheet'!D66</f>
        <v>13763.48</v>
      </c>
      <c r="E14" s="14">
        <f>'Data Sheet'!E66</f>
        <v>16248.84</v>
      </c>
      <c r="F14" s="14">
        <f>'Data Sheet'!F66</f>
        <v>16137.97</v>
      </c>
      <c r="G14" s="14">
        <f>'Data Sheet'!G66</f>
        <v>20355.34</v>
      </c>
      <c r="H14" s="14">
        <f>'Data Sheet'!H66</f>
        <v>22958.43</v>
      </c>
      <c r="I14" s="14">
        <f>'Data Sheet'!I66</f>
        <v>25779.33</v>
      </c>
      <c r="J14" s="14">
        <f>'Data Sheet'!J66</f>
        <v>29900.77</v>
      </c>
      <c r="K14" s="14">
        <f>'Data Sheet'!K66</f>
        <v>30355.25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613.04</v>
      </c>
      <c r="C16" s="4">
        <f t="shared" ref="C16:K16" si="0">C13-C7</f>
        <v>1950.96</v>
      </c>
      <c r="D16" s="4">
        <f t="shared" si="0"/>
        <v>1665.6100000000006</v>
      </c>
      <c r="E16" s="4">
        <f t="shared" si="0"/>
        <v>1515.3400000000001</v>
      </c>
      <c r="F16" s="4">
        <f t="shared" si="0"/>
        <v>2817.2599999999993</v>
      </c>
      <c r="G16" s="4">
        <f t="shared" si="0"/>
        <v>3121.1100000000006</v>
      </c>
      <c r="H16" s="4">
        <f t="shared" si="0"/>
        <v>6205.42</v>
      </c>
      <c r="I16" s="4">
        <f t="shared" si="0"/>
        <v>6873.09</v>
      </c>
      <c r="J16" s="4">
        <f t="shared" si="0"/>
        <v>6769.77</v>
      </c>
      <c r="K16" s="4">
        <f t="shared" si="0"/>
        <v>6490.76</v>
      </c>
    </row>
    <row r="17" spans="1:11" x14ac:dyDescent="0.35">
      <c r="A17" t="s">
        <v>44</v>
      </c>
      <c r="B17" s="4">
        <f>'Data Sheet'!B67</f>
        <v>1186.8399999999999</v>
      </c>
      <c r="C17" s="4">
        <f>'Data Sheet'!C67</f>
        <v>1446.6</v>
      </c>
      <c r="D17" s="4">
        <f>'Data Sheet'!D67</f>
        <v>1730.63</v>
      </c>
      <c r="E17" s="4">
        <f>'Data Sheet'!E67</f>
        <v>1907.33</v>
      </c>
      <c r="F17" s="4">
        <f>'Data Sheet'!F67</f>
        <v>1795.22</v>
      </c>
      <c r="G17" s="4">
        <f>'Data Sheet'!G67</f>
        <v>2602.17</v>
      </c>
      <c r="H17" s="4">
        <f>'Data Sheet'!H67</f>
        <v>3871.44</v>
      </c>
      <c r="I17" s="4">
        <f>'Data Sheet'!I67</f>
        <v>4636.9399999999996</v>
      </c>
      <c r="J17" s="4">
        <f>'Data Sheet'!J67</f>
        <v>4889.05</v>
      </c>
      <c r="K17" s="4">
        <f>'Data Sheet'!K67</f>
        <v>4313.6499999999996</v>
      </c>
    </row>
    <row r="18" spans="1:11" x14ac:dyDescent="0.35">
      <c r="A18" t="s">
        <v>45</v>
      </c>
      <c r="B18" s="4">
        <f>'Data Sheet'!B68</f>
        <v>1998.24</v>
      </c>
      <c r="C18" s="4">
        <f>'Data Sheet'!C68</f>
        <v>2626.94</v>
      </c>
      <c r="D18" s="4">
        <f>'Data Sheet'!D68</f>
        <v>2658.31</v>
      </c>
      <c r="E18" s="4">
        <f>'Data Sheet'!E68</f>
        <v>3149.86</v>
      </c>
      <c r="F18" s="4">
        <f>'Data Sheet'!F68</f>
        <v>3389.81</v>
      </c>
      <c r="G18" s="4">
        <f>'Data Sheet'!G68</f>
        <v>3798.6</v>
      </c>
      <c r="H18" s="4">
        <f>'Data Sheet'!H68</f>
        <v>6152.98</v>
      </c>
      <c r="I18" s="4">
        <f>'Data Sheet'!I68</f>
        <v>6210.64</v>
      </c>
      <c r="J18" s="4">
        <f>'Data Sheet'!J68</f>
        <v>5923.41</v>
      </c>
      <c r="K18" s="4">
        <f>'Data Sheet'!K68</f>
        <v>6719.27</v>
      </c>
    </row>
    <row r="20" spans="1:11" x14ac:dyDescent="0.35">
      <c r="A20" t="s">
        <v>46</v>
      </c>
      <c r="B20" s="4">
        <f>IF('Profit &amp; Loss'!B4&gt;0,'Balance Sheet'!B17/('Profit &amp; Loss'!B4/365),0)</f>
        <v>30.353985463325831</v>
      </c>
      <c r="C20" s="4">
        <f>IF('Profit &amp; Loss'!C4&gt;0,'Balance Sheet'!C17/('Profit &amp; Loss'!C4/365),0)</f>
        <v>35.05572636816251</v>
      </c>
      <c r="D20" s="4">
        <f>IF('Profit &amp; Loss'!D4&gt;0,'Balance Sheet'!D17/('Profit &amp; Loss'!D4/365),0)</f>
        <v>37.545131964896541</v>
      </c>
      <c r="E20" s="4">
        <f>IF('Profit &amp; Loss'!E4&gt;0,'Balance Sheet'!E17/('Profit &amp; Loss'!E4/365),0)</f>
        <v>36.18351071432469</v>
      </c>
      <c r="F20" s="4">
        <f>IF('Profit &amp; Loss'!F4&gt;0,'Balance Sheet'!F17/('Profit &amp; Loss'!F4/365),0)</f>
        <v>32.420325313872226</v>
      </c>
      <c r="G20" s="4">
        <f>IF('Profit &amp; Loss'!G4&gt;0,'Balance Sheet'!G17/('Profit &amp; Loss'!G4/365),0)</f>
        <v>43.743436472235949</v>
      </c>
      <c r="H20" s="4">
        <f>IF('Profit &amp; Loss'!H4&gt;0,'Balance Sheet'!H17/('Profit &amp; Loss'!H4/365),0)</f>
        <v>48.557163121347244</v>
      </c>
      <c r="I20" s="4">
        <f>IF('Profit &amp; Loss'!I4&gt;0,'Balance Sheet'!I17/('Profit &amp; Loss'!I4/365),0)</f>
        <v>49.073711044725222</v>
      </c>
      <c r="J20" s="4">
        <f>IF('Profit &amp; Loss'!J4&gt;0,'Balance Sheet'!J17/('Profit &amp; Loss'!J4/365),0)</f>
        <v>50.275160566089667</v>
      </c>
      <c r="K20" s="4">
        <f>IF('Profit &amp; Loss'!K4&gt;0,'Balance Sheet'!K17/('Profit &amp; Loss'!K4/365),0)</f>
        <v>46.437205690384069</v>
      </c>
    </row>
    <row r="21" spans="1:11" x14ac:dyDescent="0.35">
      <c r="A21" t="s">
        <v>47</v>
      </c>
      <c r="B21" s="4">
        <f>IF('Balance Sheet'!B18&gt;0,'Profit &amp; Loss'!B4/'Balance Sheet'!B18,0)</f>
        <v>7.142029986388021</v>
      </c>
      <c r="C21" s="4">
        <f>IF('Balance Sheet'!C18&gt;0,'Profit &amp; Loss'!C4/'Balance Sheet'!C18,0)</f>
        <v>5.7336635020213631</v>
      </c>
      <c r="D21" s="4">
        <f>IF('Balance Sheet'!D18&gt;0,'Profit &amp; Loss'!D4/'Balance Sheet'!D18,0)</f>
        <v>6.3290398787199385</v>
      </c>
      <c r="E21" s="4">
        <f>IF('Balance Sheet'!E18&gt;0,'Profit &amp; Loss'!E4/'Balance Sheet'!E18,0)</f>
        <v>6.1082492555224679</v>
      </c>
      <c r="F21" s="4">
        <f>IF('Balance Sheet'!F18&gt;0,'Profit &amp; Loss'!F4/'Balance Sheet'!F18,0)</f>
        <v>5.9623548222466747</v>
      </c>
      <c r="G21" s="4">
        <f>IF('Balance Sheet'!G18&gt;0,'Profit &amp; Loss'!G4/'Balance Sheet'!G18,0)</f>
        <v>5.7159979992628864</v>
      </c>
      <c r="H21" s="4">
        <f>IF('Balance Sheet'!H18&gt;0,'Profit &amp; Loss'!H4/'Balance Sheet'!H18,0)</f>
        <v>4.7296236945350056</v>
      </c>
      <c r="I21" s="4">
        <f>IF('Balance Sheet'!I18&gt;0,'Profit &amp; Loss'!I4/'Balance Sheet'!I18,0)</f>
        <v>5.5531458915667296</v>
      </c>
      <c r="J21" s="4">
        <f>IF('Balance Sheet'!J18&gt;0,'Profit &amp; Loss'!J4/'Balance Sheet'!J18,0)</f>
        <v>5.9922797847861293</v>
      </c>
      <c r="K21" s="4">
        <f>IF('Balance Sheet'!K18&gt;0,'Profit &amp; Loss'!K4/'Balance Sheet'!K18,0)</f>
        <v>5.0460273214203326</v>
      </c>
    </row>
    <row r="23" spans="1:11" s="2" customFormat="1" x14ac:dyDescent="0.35">
      <c r="A23" s="2" t="s">
        <v>50</v>
      </c>
      <c r="B23" s="10">
        <f>IF(SUM('Balance Sheet'!B4:B5)&gt;0,'Profit &amp; Loss'!B12/SUM('Balance Sheet'!B4:B5),"")</f>
        <v>0.26746484960504657</v>
      </c>
      <c r="C23" s="10">
        <f>IF(SUM('Balance Sheet'!C4:C5)&gt;0,'Profit &amp; Loss'!C12/SUM('Balance Sheet'!C4:C5),"")</f>
        <v>0.25505760867135113</v>
      </c>
      <c r="D23" s="10">
        <f>IF(SUM('Balance Sheet'!D4:D5)&gt;0,'Profit &amp; Loss'!D12/SUM('Balance Sheet'!D4:D5),"")</f>
        <v>0.24243451130349589</v>
      </c>
      <c r="E23" s="10">
        <f>IF(SUM('Balance Sheet'!E4:E5)&gt;0,'Profit &amp; Loss'!E12/SUM('Balance Sheet'!E4:E5),"")</f>
        <v>0.22764464577030905</v>
      </c>
      <c r="F23" s="10">
        <f>IF(SUM('Balance Sheet'!F4:F5)&gt;0,'Profit &amp; Loss'!F12/SUM('Balance Sheet'!F4:F5),"")</f>
        <v>0.26704119184692049</v>
      </c>
      <c r="G23" s="10">
        <f>IF(SUM('Balance Sheet'!G4:G5)&gt;0,'Profit &amp; Loss'!G12/SUM('Balance Sheet'!G4:G5),"")</f>
        <v>0.24513656960759125</v>
      </c>
      <c r="H23" s="10">
        <f>IF(SUM('Balance Sheet'!H4:H5)&gt;0,'Profit &amp; Loss'!H12/SUM('Balance Sheet'!H4:H5),"")</f>
        <v>0.21942271546443706</v>
      </c>
      <c r="I23" s="10">
        <f>IF(SUM('Balance Sheet'!I4:I5)&gt;0,'Profit &amp; Loss'!I12/SUM('Balance Sheet'!I4:I5),"")</f>
        <v>0.25677782273016331</v>
      </c>
      <c r="J23" s="10">
        <f>IF(SUM('Balance Sheet'!J4:J5)&gt;0,'Profit &amp; Loss'!J12/SUM('Balance Sheet'!J4:J5),"")</f>
        <v>0.29154968683756666</v>
      </c>
      <c r="K23" s="10">
        <f>IF(SUM('Balance Sheet'!K4:K5)&gt;0,'Profit &amp; Loss'!K12/SUM('Balance Sheet'!K4:K5),"")</f>
        <v>0.18903432559391048</v>
      </c>
    </row>
    <row r="24" spans="1:11" s="2" customFormat="1" x14ac:dyDescent="0.35">
      <c r="A24" s="2" t="s">
        <v>51</v>
      </c>
      <c r="B24" s="10"/>
      <c r="C24" s="10">
        <f>IF((B4+B5+B6+C4+C5+C6)&gt;0,('Profit &amp; Loss'!C10+'Profit &amp; Loss'!C9)*2/(B4+B5+B6+C4+C5+C6),"")</f>
        <v>0.3992542135336663</v>
      </c>
      <c r="D24" s="10">
        <f>IF((C4+C5+C6+D4+D5+D6)&gt;0,('Profit &amp; Loss'!D10+'Profit &amp; Loss'!D9)*2/(C4+C5+C6+D4+D5+D6),"")</f>
        <v>0.37175244872395136</v>
      </c>
      <c r="E24" s="10">
        <f>IF((D4+D5+D6+E4+E5+E6)&gt;0,('Profit &amp; Loss'!E10+'Profit &amp; Loss'!E9)*2/(D4+D5+D6+E4+E5+E6),"")</f>
        <v>0.34626562230000191</v>
      </c>
      <c r="F24" s="10">
        <f>IF((E4+E5+E6+F4+F5+F6)&gt;0,('Profit &amp; Loss'!F10+'Profit &amp; Loss'!F9)*2/(E4+E5+E6+F4+F5+F6),"")</f>
        <v>0.33861810143106641</v>
      </c>
      <c r="G24" s="10">
        <f>IF((F4+F5+F6+G4+G5+G6)&gt;0,('Profit &amp; Loss'!G10+'Profit &amp; Loss'!G9)*2/(F4+F5+F6+G4+G5+G6),"")</f>
        <v>0.34960774325823019</v>
      </c>
      <c r="H24" s="10">
        <f>IF((G4+G5+G6+H4+H5+H6)&gt;0,('Profit &amp; Loss'!H10+'Profit &amp; Loss'!H9)*2/(G4+G5+G6+H4+H5+H6),"")</f>
        <v>0.29238527741796749</v>
      </c>
      <c r="I24" s="10">
        <f>IF((H4+H5+H6+I4+I5+I6)&gt;0,('Profit &amp; Loss'!I10+'Profit &amp; Loss'!I9)*2/(H4+H5+H6+I4+I5+I6),"")</f>
        <v>0.35010228581871716</v>
      </c>
      <c r="J24" s="10">
        <f>IF((I4+I5+I6+J4+J5+J6)&gt;0,('Profit &amp; Loss'!J10+'Profit &amp; Loss'!J9)*2/(I4+I5+I6+J4+J5+J6),"")</f>
        <v>0.38606781465633033</v>
      </c>
      <c r="K24" s="10">
        <f>IF((J4+J5+J6+K4+K5+K6)&gt;0,('Profit &amp; Loss'!K10+'Profit &amp; Loss'!K9)*2/(J4+J5+J6+K4+K5+K6),"")</f>
        <v>0.24853087162921128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74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ASIAN PAINTS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45016</v>
      </c>
      <c r="C3" s="12">
        <f>'Data Sheet'!C41</f>
        <v>45107</v>
      </c>
      <c r="D3" s="12">
        <f>'Data Sheet'!D41</f>
        <v>45199</v>
      </c>
      <c r="E3" s="12">
        <f>'Data Sheet'!E41</f>
        <v>45291</v>
      </c>
      <c r="F3" s="12">
        <f>'Data Sheet'!F41</f>
        <v>45382</v>
      </c>
      <c r="G3" s="12">
        <f>'Data Sheet'!G41</f>
        <v>45473</v>
      </c>
      <c r="H3" s="12">
        <f>'Data Sheet'!H41</f>
        <v>45565</v>
      </c>
      <c r="I3" s="12">
        <f>'Data Sheet'!I41</f>
        <v>45657</v>
      </c>
      <c r="J3" s="12">
        <f>'Data Sheet'!J41</f>
        <v>45747</v>
      </c>
      <c r="K3" s="12">
        <f>'Data Sheet'!K41</f>
        <v>45838</v>
      </c>
    </row>
    <row r="4" spans="1:11" s="2" customFormat="1" x14ac:dyDescent="0.35">
      <c r="A4" s="2" t="s">
        <v>6</v>
      </c>
      <c r="B4" s="1">
        <f>'Data Sheet'!B42</f>
        <v>8787.34</v>
      </c>
      <c r="C4" s="1">
        <f>'Data Sheet'!C42</f>
        <v>9182.31</v>
      </c>
      <c r="D4" s="1">
        <f>'Data Sheet'!D42</f>
        <v>8478.57</v>
      </c>
      <c r="E4" s="1">
        <f>'Data Sheet'!E42</f>
        <v>9103.09</v>
      </c>
      <c r="F4" s="1">
        <f>'Data Sheet'!F42</f>
        <v>8730.76</v>
      </c>
      <c r="G4" s="1">
        <f>'Data Sheet'!G42</f>
        <v>8969.73</v>
      </c>
      <c r="H4" s="1">
        <f>'Data Sheet'!H42</f>
        <v>8027.54</v>
      </c>
      <c r="I4" s="1">
        <f>'Data Sheet'!I42</f>
        <v>8549.44</v>
      </c>
      <c r="J4" s="1">
        <f>'Data Sheet'!J42</f>
        <v>8358.91</v>
      </c>
      <c r="K4" s="1">
        <f>'Data Sheet'!K42</f>
        <v>8938.5499999999993</v>
      </c>
    </row>
    <row r="5" spans="1:11" x14ac:dyDescent="0.35">
      <c r="A5" t="s">
        <v>7</v>
      </c>
      <c r="B5" s="6">
        <f>'Data Sheet'!B43</f>
        <v>6922.58</v>
      </c>
      <c r="C5" s="6">
        <f>'Data Sheet'!C43</f>
        <v>7061.02</v>
      </c>
      <c r="D5" s="6">
        <f>'Data Sheet'!D43</f>
        <v>6762.34</v>
      </c>
      <c r="E5" s="6">
        <f>'Data Sheet'!E43</f>
        <v>7047</v>
      </c>
      <c r="F5" s="6">
        <f>'Data Sheet'!F43</f>
        <v>7039.39</v>
      </c>
      <c r="G5" s="6">
        <f>'Data Sheet'!G43</f>
        <v>7275.96</v>
      </c>
      <c r="H5" s="6">
        <f>'Data Sheet'!H43</f>
        <v>6788.03</v>
      </c>
      <c r="I5" s="6">
        <f>'Data Sheet'!I43</f>
        <v>6912.71</v>
      </c>
      <c r="J5" s="6">
        <f>'Data Sheet'!J43</f>
        <v>6922.71</v>
      </c>
      <c r="K5" s="6">
        <f>'Data Sheet'!K43</f>
        <v>7313.58</v>
      </c>
    </row>
    <row r="6" spans="1:11" s="2" customFormat="1" x14ac:dyDescent="0.35">
      <c r="A6" s="2" t="s">
        <v>8</v>
      </c>
      <c r="B6" s="1">
        <f>'Data Sheet'!B50</f>
        <v>1864.76</v>
      </c>
      <c r="C6" s="1">
        <f>'Data Sheet'!C50</f>
        <v>2121.29</v>
      </c>
      <c r="D6" s="1">
        <f>'Data Sheet'!D50</f>
        <v>1716.23</v>
      </c>
      <c r="E6" s="1">
        <f>'Data Sheet'!E50</f>
        <v>2056.09</v>
      </c>
      <c r="F6" s="1">
        <f>'Data Sheet'!F50</f>
        <v>1691.37</v>
      </c>
      <c r="G6" s="1">
        <f>'Data Sheet'!G50</f>
        <v>1693.77</v>
      </c>
      <c r="H6" s="1">
        <f>'Data Sheet'!H50</f>
        <v>1239.51</v>
      </c>
      <c r="I6" s="1">
        <f>'Data Sheet'!I50</f>
        <v>1636.73</v>
      </c>
      <c r="J6" s="1">
        <f>'Data Sheet'!J50</f>
        <v>1436.2</v>
      </c>
      <c r="K6" s="1">
        <f>'Data Sheet'!K50</f>
        <v>1624.97</v>
      </c>
    </row>
    <row r="7" spans="1:11" x14ac:dyDescent="0.35">
      <c r="A7" t="s">
        <v>9</v>
      </c>
      <c r="B7" s="6">
        <f>'Data Sheet'!B44</f>
        <v>104.17</v>
      </c>
      <c r="C7" s="6">
        <f>'Data Sheet'!C44</f>
        <v>227.74</v>
      </c>
      <c r="D7" s="6">
        <f>'Data Sheet'!D44</f>
        <v>194.33</v>
      </c>
      <c r="E7" s="6">
        <f>'Data Sheet'!E44</f>
        <v>186.46</v>
      </c>
      <c r="F7" s="6">
        <f>'Data Sheet'!F44</f>
        <v>212.43</v>
      </c>
      <c r="G7" s="6">
        <f>'Data Sheet'!G44</f>
        <v>192.93</v>
      </c>
      <c r="H7" s="6">
        <f>'Data Sheet'!H44</f>
        <v>24.53</v>
      </c>
      <c r="I7" s="6">
        <f>'Data Sheet'!I44</f>
        <v>192.82</v>
      </c>
      <c r="J7" s="6">
        <f>'Data Sheet'!J44</f>
        <v>-60.06</v>
      </c>
      <c r="K7" s="6">
        <f>'Data Sheet'!K44</f>
        <v>229.11</v>
      </c>
    </row>
    <row r="8" spans="1:11" x14ac:dyDescent="0.35">
      <c r="A8" t="s">
        <v>10</v>
      </c>
      <c r="B8" s="6">
        <f>'Data Sheet'!B45</f>
        <v>220.17</v>
      </c>
      <c r="C8" s="6">
        <f>'Data Sheet'!C45</f>
        <v>198.32</v>
      </c>
      <c r="D8" s="6">
        <f>'Data Sheet'!D45</f>
        <v>208.72</v>
      </c>
      <c r="E8" s="6">
        <f>'Data Sheet'!E45</f>
        <v>220.35</v>
      </c>
      <c r="F8" s="6">
        <f>'Data Sheet'!F45</f>
        <v>225.61</v>
      </c>
      <c r="G8" s="6">
        <f>'Data Sheet'!G45</f>
        <v>227.7</v>
      </c>
      <c r="H8" s="6">
        <f>'Data Sheet'!H45</f>
        <v>241.99</v>
      </c>
      <c r="I8" s="6">
        <f>'Data Sheet'!I45</f>
        <v>255.55</v>
      </c>
      <c r="J8" s="6">
        <f>'Data Sheet'!J45</f>
        <v>301.10000000000002</v>
      </c>
      <c r="K8" s="6">
        <f>'Data Sheet'!K45</f>
        <v>300.87</v>
      </c>
    </row>
    <row r="9" spans="1:11" x14ac:dyDescent="0.35">
      <c r="A9" t="s">
        <v>11</v>
      </c>
      <c r="B9" s="6">
        <f>'Data Sheet'!B46</f>
        <v>38.909999999999997</v>
      </c>
      <c r="C9" s="6">
        <f>'Data Sheet'!C46</f>
        <v>45.75</v>
      </c>
      <c r="D9" s="6">
        <f>'Data Sheet'!D46</f>
        <v>50.9</v>
      </c>
      <c r="E9" s="6">
        <f>'Data Sheet'!E46</f>
        <v>54.42</v>
      </c>
      <c r="F9" s="6">
        <f>'Data Sheet'!F46</f>
        <v>54.1</v>
      </c>
      <c r="G9" s="6">
        <f>'Data Sheet'!G46</f>
        <v>55.38</v>
      </c>
      <c r="H9" s="6">
        <f>'Data Sheet'!H46</f>
        <v>63.01</v>
      </c>
      <c r="I9" s="6">
        <f>'Data Sheet'!I46</f>
        <v>55.84</v>
      </c>
      <c r="J9" s="6">
        <f>'Data Sheet'!J46</f>
        <v>52.79</v>
      </c>
      <c r="K9" s="6">
        <f>'Data Sheet'!K46</f>
        <v>44.5</v>
      </c>
    </row>
    <row r="10" spans="1:11" x14ac:dyDescent="0.35">
      <c r="A10" t="s">
        <v>12</v>
      </c>
      <c r="B10" s="6">
        <f>'Data Sheet'!B47</f>
        <v>1709.85</v>
      </c>
      <c r="C10" s="6">
        <f>'Data Sheet'!C47</f>
        <v>2104.96</v>
      </c>
      <c r="D10" s="6">
        <f>'Data Sheet'!D47</f>
        <v>1650.94</v>
      </c>
      <c r="E10" s="6">
        <f>'Data Sheet'!E47</f>
        <v>1967.78</v>
      </c>
      <c r="F10" s="6">
        <f>'Data Sheet'!F47</f>
        <v>1624.09</v>
      </c>
      <c r="G10" s="6">
        <f>'Data Sheet'!G47</f>
        <v>1603.62</v>
      </c>
      <c r="H10" s="6">
        <f>'Data Sheet'!H47</f>
        <v>959.04</v>
      </c>
      <c r="I10" s="6">
        <f>'Data Sheet'!I47</f>
        <v>1518.16</v>
      </c>
      <c r="J10" s="6">
        <f>'Data Sheet'!J47</f>
        <v>1022.25</v>
      </c>
      <c r="K10" s="6">
        <f>'Data Sheet'!K47</f>
        <v>1508.71</v>
      </c>
    </row>
    <row r="11" spans="1:11" x14ac:dyDescent="0.35">
      <c r="A11" t="s">
        <v>13</v>
      </c>
      <c r="B11" s="6">
        <f>'Data Sheet'!B48</f>
        <v>451.44</v>
      </c>
      <c r="C11" s="6">
        <f>'Data Sheet'!C48</f>
        <v>530.12</v>
      </c>
      <c r="D11" s="6">
        <f>'Data Sheet'!D48</f>
        <v>418.55</v>
      </c>
      <c r="E11" s="6">
        <f>'Data Sheet'!E48</f>
        <v>492.62</v>
      </c>
      <c r="F11" s="6">
        <f>'Data Sheet'!F48</f>
        <v>348.79</v>
      </c>
      <c r="G11" s="6">
        <f>'Data Sheet'!G48</f>
        <v>416.83</v>
      </c>
      <c r="H11" s="6">
        <f>'Data Sheet'!H48</f>
        <v>265.38</v>
      </c>
      <c r="I11" s="6">
        <f>'Data Sheet'!I48</f>
        <v>389.73</v>
      </c>
      <c r="J11" s="6">
        <f>'Data Sheet'!J48</f>
        <v>321.42</v>
      </c>
      <c r="K11" s="6">
        <f>'Data Sheet'!K48</f>
        <v>391.66</v>
      </c>
    </row>
    <row r="12" spans="1:11" s="2" customFormat="1" x14ac:dyDescent="0.35">
      <c r="A12" s="2" t="s">
        <v>14</v>
      </c>
      <c r="B12" s="1">
        <f>'Data Sheet'!B49</f>
        <v>1234.1400000000001</v>
      </c>
      <c r="C12" s="1">
        <f>'Data Sheet'!C49</f>
        <v>1550.37</v>
      </c>
      <c r="D12" s="1">
        <f>'Data Sheet'!D49</f>
        <v>1205.42</v>
      </c>
      <c r="E12" s="1">
        <f>'Data Sheet'!E49</f>
        <v>1447.72</v>
      </c>
      <c r="F12" s="1">
        <f>'Data Sheet'!F49</f>
        <v>1256.72</v>
      </c>
      <c r="G12" s="1">
        <f>'Data Sheet'!G49</f>
        <v>1169.98</v>
      </c>
      <c r="H12" s="1">
        <f>'Data Sheet'!H49</f>
        <v>694.64</v>
      </c>
      <c r="I12" s="1">
        <f>'Data Sheet'!I49</f>
        <v>1110.48</v>
      </c>
      <c r="J12" s="1">
        <f>'Data Sheet'!J49</f>
        <v>692.13</v>
      </c>
      <c r="K12" s="1">
        <f>'Data Sheet'!K49</f>
        <v>1099.77</v>
      </c>
    </row>
    <row r="14" spans="1:11" s="2" customFormat="1" x14ac:dyDescent="0.35">
      <c r="A14" s="2" t="s">
        <v>18</v>
      </c>
      <c r="B14" s="10">
        <f>IF(B4&gt;0,B6/B4,"")</f>
        <v>0.21220983824456546</v>
      </c>
      <c r="C14" s="10">
        <f t="shared" ref="C14:K14" si="0">IF(C4&gt;0,C6/C4,"")</f>
        <v>0.23101920976312063</v>
      </c>
      <c r="D14" s="10">
        <f t="shared" si="0"/>
        <v>0.20241974766971318</v>
      </c>
      <c r="E14" s="10">
        <f t="shared" si="0"/>
        <v>0.22586726045771272</v>
      </c>
      <c r="F14" s="10">
        <f t="shared" si="0"/>
        <v>0.19372540305769484</v>
      </c>
      <c r="G14" s="10">
        <f t="shared" si="0"/>
        <v>0.18883177085597894</v>
      </c>
      <c r="H14" s="10">
        <f t="shared" si="0"/>
        <v>0.15440720320297377</v>
      </c>
      <c r="I14" s="10">
        <f t="shared" si="0"/>
        <v>0.19144294831006475</v>
      </c>
      <c r="J14" s="10">
        <f t="shared" si="0"/>
        <v>0.17181666030618825</v>
      </c>
      <c r="K14" s="10">
        <f t="shared" si="0"/>
        <v>0.18179346762058726</v>
      </c>
    </row>
    <row r="22" s="19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Comps Valuation</vt:lpstr>
      <vt:lpstr>Football Field</vt:lpstr>
      <vt:lpstr>DCF</vt:lpstr>
      <vt:lpstr>CSS</vt:lpstr>
      <vt:lpstr>Intrinsic Growth</vt:lpstr>
      <vt:lpstr>Raw FS</vt:lpstr>
      <vt:lpstr>Data</vt:lpstr>
      <vt:lpstr>WACC</vt:lpstr>
      <vt:lpstr>WACC Data-&gt;</vt:lpstr>
      <vt:lpstr>Beta</vt:lpstr>
      <vt:lpstr>Market Returns</vt:lpstr>
      <vt:lpstr>FINANCIALS -&gt;</vt:lpstr>
      <vt:lpstr>FS</vt:lpstr>
      <vt:lpstr>Ratio Analysis</vt:lpstr>
      <vt:lpstr>Forecasting</vt:lpstr>
      <vt:lpstr>DATA -&gt;</vt:lpstr>
      <vt:lpstr>Profit &amp; Loss</vt:lpstr>
      <vt:lpstr>Data Sheet</vt:lpstr>
      <vt:lpstr>Cash Flow</vt:lpstr>
      <vt:lpstr>Balance Sheet</vt:lpstr>
      <vt:lpstr>Quarters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rajbirjakhar123@gmail.com</cp:lastModifiedBy>
  <cp:lastPrinted>2025-08-27T05:39:06Z</cp:lastPrinted>
  <dcterms:created xsi:type="dcterms:W3CDTF">2012-08-17T09:55:37Z</dcterms:created>
  <dcterms:modified xsi:type="dcterms:W3CDTF">2026-01-19T13:41:41Z</dcterms:modified>
</cp:coreProperties>
</file>